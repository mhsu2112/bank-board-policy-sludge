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chaelhsu/Work/04-policy-sludge-code/bank boards_cumulative-sludge/_Reports_2/"/>
    </mc:Choice>
  </mc:AlternateContent>
  <xr:revisionPtr revIDLastSave="0" documentId="8_{D217F8B0-F0D8-1445-862A-07B029A2B771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README" sheetId="1" r:id="rId1"/>
    <sheet name="Inventory" sheetId="2" r:id="rId2"/>
    <sheet name="Duplication Clusters" sheetId="3" r:id="rId3"/>
    <sheet name="Accumulation Timeline" sheetId="4" r:id="rId4"/>
  </sheets>
  <definedNames>
    <definedName name="_xlnm._FilterDatabase" localSheetId="1" hidden="1">Inventory!$A$4:$N$70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B5" i="4"/>
  <c r="B12" i="4" l="1"/>
</calcChain>
</file>

<file path=xl/sharedStrings.xml><?xml version="1.0" encoding="utf-8"?>
<sst xmlns="http://schemas.openxmlformats.org/spreadsheetml/2006/main" count="985" uniqueCount="529">
  <si>
    <t>Bank Board of Directors — Obligation Inventory</t>
  </si>
  <si>
    <t>A surface-burden map of statutory, regulatory, and supervisory duties placed on the board, built for policy-sludge diagnosis.</t>
  </si>
  <si>
    <t>Prepared June 2026  ·  Scope: U.S. federal banking framework  ·  Mechanism tags follow the Policy Sludge 2x2 (Duplicative / Cumulative / Cascade / Stale)</t>
  </si>
  <si>
    <t>HOW TO USE THIS WORKBOOK</t>
  </si>
  <si>
    <t>Inventory</t>
  </si>
  <si>
    <t>The core table: one row per discrete board obligation. Filter by Domain, Authority, or Sludge Tag; sort by Origin Year to see accumulation; group by 'Overlap / Notes' to find collisions.</t>
  </si>
  <si>
    <t>Duplication Clusters</t>
  </si>
  <si>
    <t>The headline sludge findings — places where the same substantive duty lands on the board through multiple instruments or agencies. This is where consolidation pays off first.</t>
  </si>
  <si>
    <t>Accumulation Timeline</t>
  </si>
  <si>
    <t>Origin-year tally with a chart. This is the 'accumulation curve' the cumulative-sludge quadrant calls for — note the post-1991 and 2010-2016 spikes.</t>
  </si>
  <si>
    <t>SCOPE &amp; METHOD</t>
  </si>
  <si>
    <t>Surface defined</t>
  </si>
  <si>
    <t>The 'board of directors' as actor, across the full corpus of obligations directed at it — statute, regulation, and supervisory guidance — for insured depository institutions and their holding companies.</t>
  </si>
  <si>
    <t>Lens</t>
  </si>
  <si>
    <t>Primarily the national bank / federal savings association view (OCC), with Federal Reserve (BHC/SLHC) and FDIC (state nonmember) parallels noted. State corporate-law duties and securities-law/exchange-listing duties are flagged as a separate layer where they intersect, not exhaustively mapped.</t>
  </si>
  <si>
    <t>Completeness</t>
  </si>
  <si>
    <t>Comprehensive across the principal instruments and the major obligation types. It is NOT a claim to have captured every CFR subsection — it is a working backbone designed to be extended. Add rows freely.</t>
  </si>
  <si>
    <t>Action-type taxonomy</t>
  </si>
  <si>
    <t>Approve / Adopt / Establish / Designate / Oversee / Review / Ensure / Certify / Composition. The Approve/Adopt/Establish verbs are where 'board involvement' creep concentrates; Oversee is the core function regulators are trying to refocus boards toward.</t>
  </si>
  <si>
    <t>MECHANISM TAGS (your 2x2)</t>
  </si>
  <si>
    <t>Duplicative</t>
  </si>
  <si>
    <t>Same requirement across rules, regulators, or jurisdictions at one moment (e.g., BSA program approval in 3 agencies' rules). Lever: harmonize / single source.</t>
  </si>
  <si>
    <t>Cumulative</t>
  </si>
  <si>
    <t>Requirements piling on the board surface over time without retirement. This is the default condition of the whole surface. Lever: scheduled retirement review, sunset, one-in-one-out.</t>
  </si>
  <si>
    <t>Cascade</t>
  </si>
  <si>
    <t>A single rule translated down into guidance, exam expectation, policy, control (e.g., a statutory 'oversee' becomes a 30-item board-packet checklist). Lever: outcomes-based text, policy-as-code.</t>
  </si>
  <si>
    <t>Stale</t>
  </si>
  <si>
    <t>A duty drifting out of alignment with its original purpose or the evolved risk landscape. Lever: retrospective review with default-sunset bias.</t>
  </si>
  <si>
    <t>H / V</t>
  </si>
  <si>
    <t>Horizontal sludge = overlap across regimes without a distinct objective. Vertical sludge = implementation burden disproportionate to the objective.</t>
  </si>
  <si>
    <t>KEY FINDINGS (see Inventory + Clusters for detail)</t>
  </si>
  <si>
    <t>The Fed quantified the problem</t>
  </si>
  <si>
    <t>The Federal Reserve's 2017 Board Effectiveness Proposal set out to consolidate and clarify 170+ supervisory expectations on boards scattered across SR letters. SR 21-4 (2021) then went letter-by-letter marking each Retain / Revise / Made-inactive — a live worked example of cumulative-sludge cleanup.</t>
  </si>
  <si>
    <t>Regulators are already cutting</t>
  </si>
  <si>
    <t>FDIC withdrew its 2023 corporate-governance guidelines proposal (2025). OCC has proposed lifting the heightened-standards asset threshold from $50B to $700B, cutting covered banks from 38 to 8. The reform tailwind is real — this inventory is a map for steering it.</t>
  </si>
  <si>
    <t>The 'approve a policy' pile-on</t>
  </si>
  <si>
    <t>The single most common board verb across the corpus is approve/adopt a written program or policy — BSA, info-security, loan, investment, liquidity, IRR, ALLL, capital, incentive comp. Each is individually defensible; in aggregate they crowd out oversight. Classic cumulative + cascade.</t>
  </si>
  <si>
    <t>Role confusion is structural</t>
  </si>
  <si>
    <t>Many duties fail to distinguish board from management — the defect the Fed (SR 21-3/21-4) and the OCC (2020 third-party FAQ removing the board 'approve every contract' reading) have explicitly targeted.</t>
  </si>
  <si>
    <t>CAVEATS</t>
  </si>
  <si>
    <t>Citations</t>
  </si>
  <si>
    <t>Cited to the section level where confident. Verify exact subsection and current text against eCFR / the issuing source before relying on any single entry for legal purposes. Several instruments are in active flux (2025-26 deregulatory cycle).</t>
  </si>
  <si>
    <t>Guidance != law</t>
  </si>
  <si>
    <t>Per the 2018 interagency statement and the 2020 rule, supervisory guidance lacks the force of law. But as the leveraged-lending withdrawal debate shows, guidance operates as de facto binding in exams — which is precisely how vertical/cascade sludge accumulates.</t>
  </si>
  <si>
    <t>Bank Board Obligation Inventory</t>
  </si>
  <si>
    <t>66 principal obligations across 15 domains. Filter and sort freely; add rows to extend. Mechanism tags follow the Policy Sludge 2x2.</t>
  </si>
  <si>
    <t>ID</t>
  </si>
  <si>
    <t>Domain</t>
  </si>
  <si>
    <t>Board Obligation (what the board must do)</t>
  </si>
  <si>
    <t>Action Type</t>
  </si>
  <si>
    <t>Source Type</t>
  </si>
  <si>
    <t>Instrument</t>
  </si>
  <si>
    <t>Citation</t>
  </si>
  <si>
    <t>Issuing Authority</t>
  </si>
  <si>
    <t>Applicability / Threshold</t>
  </si>
  <si>
    <t>Origin Yr (approx.)</t>
  </si>
  <si>
    <t>Frequency</t>
  </si>
  <si>
    <t>Sludge Tag</t>
  </si>
  <si>
    <t>H/V</t>
  </si>
  <si>
    <t>Overlap / Notes</t>
  </si>
  <si>
    <t>G-01</t>
  </si>
  <si>
    <t>Governance / Composition</t>
  </si>
  <si>
    <t>Maintain a board of 5–25 directors</t>
  </si>
  <si>
    <t>Composition</t>
  </si>
  <si>
    <t>Statute</t>
  </si>
  <si>
    <t>National Bank Act</t>
  </si>
  <si>
    <t>12 USC 71a</t>
  </si>
  <si>
    <t>Congress (OCC)</t>
  </si>
  <si>
    <t>National banks</t>
  </si>
  <si>
    <t>Ongoing</t>
  </si>
  <si>
    <t>—</t>
  </si>
  <si>
    <t>Hard numeric band; arguably misaligned with modern board-size practice</t>
  </si>
  <si>
    <t>G-02</t>
  </si>
  <si>
    <t>Each director hold qualifying shares of the bank</t>
  </si>
  <si>
    <t>12 USC 72</t>
  </si>
  <si>
    <t>Pre-modern-governance device; OCC may waive</t>
  </si>
  <si>
    <t>G-03</t>
  </si>
  <si>
    <t>Meet director citizenship / residency requirements</t>
  </si>
  <si>
    <t>Waivable; origin predates modern corporate mobility</t>
  </si>
  <si>
    <t>G-04</t>
  </si>
  <si>
    <t>Each director take the prescribed oath of office</t>
  </si>
  <si>
    <t>Certify</t>
  </si>
  <si>
    <t>12 USC 73</t>
  </si>
  <si>
    <t>At appointment</t>
  </si>
  <si>
    <t>Ceremonial; rarely revisited</t>
  </si>
  <si>
    <t>G-05</t>
  </si>
  <si>
    <t>Elect directors at the annual shareholders' meeting</t>
  </si>
  <si>
    <t>12 USC 71</t>
  </si>
  <si>
    <t>Annual</t>
  </si>
  <si>
    <t>Overlaps state corporate-law election rules</t>
  </si>
  <si>
    <t>G-06</t>
  </si>
  <si>
    <t>Provide prior notice of new directors/senior execs (troubled / de novo / change-in-control)</t>
  </si>
  <si>
    <t>Ensure</t>
  </si>
  <si>
    <t>Statute + Reg</t>
  </si>
  <si>
    <t>FDICIA s.32</t>
  </si>
  <si>
    <t>12 USC 1831i; 12 CFR 5.51 (OCC); 12 CFR 225.71-.73 (Fed)</t>
  </si>
  <si>
    <t>Congress; OCC; Fed</t>
  </si>
  <si>
    <t>Banks in troubled condition, de novo, post-CIC</t>
  </si>
  <si>
    <t>Event-driven</t>
  </si>
  <si>
    <t>H</t>
  </si>
  <si>
    <t>Parallel OCC and Fed regimes for the same notice</t>
  </si>
  <si>
    <t>G-07</t>
  </si>
  <si>
    <t>Establish a board risk committee chaired by an independent director with risk expertise</t>
  </si>
  <si>
    <t>Establish</t>
  </si>
  <si>
    <t>Dodd-Frank s.165(h); Reg YY</t>
  </si>
  <si>
    <t>12 CFR 252.22; 252.33</t>
  </si>
  <si>
    <t>Congress; Fed</t>
  </si>
  <si>
    <t>BHCs &gt;= $50B (publicly traded) / &gt;= $100B</t>
  </si>
  <si>
    <t>Overlaps OCC Heightened Standards risk-committee expectation</t>
  </si>
  <si>
    <t>G-08</t>
  </si>
  <si>
    <t>Maintain a capable board composition &amp; governance structure</t>
  </si>
  <si>
    <t>Guidance</t>
  </si>
  <si>
    <t>SR 21-3 (attribute 5)</t>
  </si>
  <si>
    <t>SR 21-3 / CA 21-1</t>
  </si>
  <si>
    <t>Fed</t>
  </si>
  <si>
    <t>BHCs/SLHCs &gt;= $100B</t>
  </si>
  <si>
    <t>Codifies prior accreted expectations</t>
  </si>
  <si>
    <t>G-09</t>
  </si>
  <si>
    <t>Adopt a process to assess board diversity / seek diverse candidates</t>
  </si>
  <si>
    <t>OCC Bulletin 2015-30; Dodd-Frank s.342</t>
  </si>
  <si>
    <t>OCC Bull. 2015-30</t>
  </si>
  <si>
    <t>OCC; Congress</t>
  </si>
  <si>
    <t>Regulated entities</t>
  </si>
  <si>
    <t>Soft expectation; interacts with SEC/exchange diversity disclosure</t>
  </si>
  <si>
    <t>SS-01</t>
  </si>
  <si>
    <t>Safety &amp; Soundness</t>
  </si>
  <si>
    <t>Establish and adhere to operational &amp; managerial safety-and-soundness standards</t>
  </si>
  <si>
    <t>FDI Act s.39; Interagency Guidelines</t>
  </si>
  <si>
    <t>12 USC 1831p-1; 12 CFR 30 App. A (OCC); 208 App. D-1 (Fed); 364 App. A (FDIC)</t>
  </si>
  <si>
    <t>Congress; OCC; Fed; FDIC</t>
  </si>
  <si>
    <t>All IDIs</t>
  </si>
  <si>
    <t>Same standards in three agencies' appendices</t>
  </si>
  <si>
    <t>SS-02</t>
  </si>
  <si>
    <t>Oversee a written risk-governance framework; require independent risk management</t>
  </si>
  <si>
    <t>Oversee</t>
  </si>
  <si>
    <t>Guidance (enforceable)</t>
  </si>
  <si>
    <t>OCC Heightened Standards</t>
  </si>
  <si>
    <t>12 CFR 30 App. D</t>
  </si>
  <si>
    <t>OCC</t>
  </si>
  <si>
    <t>Nat'l banks/FSAs &gt;= $50B (proposed -&gt; $700B)</t>
  </si>
  <si>
    <t>V</t>
  </si>
  <si>
    <t>Overlaps Reg YY 252.33 and SR 21-3; threshold change pending</t>
  </si>
  <si>
    <t>SS-03</t>
  </si>
  <si>
    <t>Provide active oversight of management; 'establish and adhere to' the framework</t>
  </si>
  <si>
    <t>12 CFR 30 App. D, II</t>
  </si>
  <si>
    <t>'Active oversight' translated into detailed exam checklists</t>
  </si>
  <si>
    <t>SS-04</t>
  </si>
  <si>
    <t>Review and approve a recovery plan</t>
  </si>
  <si>
    <t>Approve</t>
  </si>
  <si>
    <t>OCC Recovery Planning Guidelines</t>
  </si>
  <si>
    <t>12 CFR 30 App. E</t>
  </si>
  <si>
    <t>Nat'l banks/FSAs &gt;= $250B (orig $50B)</t>
  </si>
  <si>
    <t>Distinct from but adjacent to s.165(d) resolution plan</t>
  </si>
  <si>
    <t>SS-05</t>
  </si>
  <si>
    <t>Set clear, aligned, consistent direction on strategy &amp; risk appetite</t>
  </si>
  <si>
    <t>SR 21-3 (attribute 1)</t>
  </si>
  <si>
    <t>Overlaps Heightened Standards risk-appetite duty</t>
  </si>
  <si>
    <t>RM-01</t>
  </si>
  <si>
    <t>Risk Management</t>
  </si>
  <si>
    <t>Approve the enterprise risk-management framework</t>
  </si>
  <si>
    <t>Reg + Guidance</t>
  </si>
  <si>
    <t>Reg YY; Heightened Standards; SR 21-3</t>
  </si>
  <si>
    <t>12 CFR 252.33; 12 CFR 30 App. D</t>
  </si>
  <si>
    <t>Fed; OCC</t>
  </si>
  <si>
    <t>Large BHCs / large nat'l banks</t>
  </si>
  <si>
    <t>Same duty via Reg YY, Heightened Standards, and SR 21-3</t>
  </si>
  <si>
    <t>RM-02</t>
  </si>
  <si>
    <t>Approve / establish the firm's risk-appetite statement</t>
  </si>
  <si>
    <t>Reg YY; Heightened Standards</t>
  </si>
  <si>
    <t>Risk appetite appears in multiple instruments</t>
  </si>
  <si>
    <t>RM-03</t>
  </si>
  <si>
    <t>Direct senior management on the board's information needs</t>
  </si>
  <si>
    <t>SR 21-3 (attribute 2)</t>
  </si>
  <si>
    <t>Translated into voluminous board-reporting expectations</t>
  </si>
  <si>
    <t>RM-04</t>
  </si>
  <si>
    <t>Oversee and hold senior management accountable</t>
  </si>
  <si>
    <t>SR 21-3 (attribute 3)</t>
  </si>
  <si>
    <t>Core function regulators are refocusing boards toward</t>
  </si>
  <si>
    <t>RM-05</t>
  </si>
  <si>
    <t>Support the independence &amp; stature of risk management and internal audit</t>
  </si>
  <si>
    <t>SR 21-3 (attribute 4); Heightened Standards</t>
  </si>
  <si>
    <t>SR 21-3; 12 CFR 30 App. D</t>
  </si>
  <si>
    <t>Large institutions</t>
  </si>
  <si>
    <t>Duplicated across Fed guidance and OCC standards</t>
  </si>
  <si>
    <t>RM-06</t>
  </si>
  <si>
    <t>Oversee risk management at smaller institutions</t>
  </si>
  <si>
    <t>SR 16-11</t>
  </si>
  <si>
    <t>Supervised firms &lt; $100B</t>
  </si>
  <si>
    <t>Parallel-but-lighter version of SR 21-3 duties</t>
  </si>
  <si>
    <t>RM-07</t>
  </si>
  <si>
    <t>Approve model-risk-management policies; oversee model risk</t>
  </si>
  <si>
    <t>SR 11-7; 2026 interagency MRM guidance</t>
  </si>
  <si>
    <t>SR 11-7; SR 26-2</t>
  </si>
  <si>
    <t>Fed; OCC; FDIC</t>
  </si>
  <si>
    <t>Tiered by asset size (2026)</t>
  </si>
  <si>
    <t>Board 'approve policies' duty; 2026 guidance re-tiers and narrows model definition</t>
  </si>
  <si>
    <t>RM-08</t>
  </si>
  <si>
    <t>Approve interest-rate-risk policy &amp; limits</t>
  </si>
  <si>
    <t>Interagency IRR guidance (2010); SR 96-13</t>
  </si>
  <si>
    <t>SR 10-1; SR 96-13</t>
  </si>
  <si>
    <t>All banks (tailored)</t>
  </si>
  <si>
    <t>One of many discrete policy-approval duties</t>
  </si>
  <si>
    <t>RM-09</t>
  </si>
  <si>
    <t>Oversee management of credit concentrations (incl. CRE)</t>
  </si>
  <si>
    <t>Interagency CRE Concentration Guidance</t>
  </si>
  <si>
    <t>SR 07-1</t>
  </si>
  <si>
    <t>All banks</t>
  </si>
  <si>
    <t>Exam expectations exceed text</t>
  </si>
  <si>
    <t>CAP-01</t>
  </si>
  <si>
    <t>Capital</t>
  </si>
  <si>
    <t>Approve the capital plan</t>
  </si>
  <si>
    <t>Reg</t>
  </si>
  <si>
    <t>Reg Y capital-plan rule</t>
  </si>
  <si>
    <t>12 CFR 225.8</t>
  </si>
  <si>
    <t>BHCs &gt;= $100B (orig $50B)</t>
  </si>
  <si>
    <t>Threshold raised over time; overlaps stress-test governance</t>
  </si>
  <si>
    <t>CAP-02</t>
  </si>
  <si>
    <t>Oversee capital adequacy &amp; capital planning processes</t>
  </si>
  <si>
    <t>SR 15-18 / 15-19</t>
  </si>
  <si>
    <t>SR 15-18; SR 15-19</t>
  </si>
  <si>
    <t>Large / smaller firms (split)</t>
  </si>
  <si>
    <t>Two letters split by size; board duties overlap CAP-01</t>
  </si>
  <si>
    <t>CAP-03</t>
  </si>
  <si>
    <t>Approve capital distributions / dividends within statutory limits</t>
  </si>
  <si>
    <t>12 USC 56, 60; OCC dividend rule</t>
  </si>
  <si>
    <t>12 USC 56, 60; 12 CFR 5.64</t>
  </si>
  <si>
    <t>Congress; OCC</t>
  </si>
  <si>
    <t>Overlaps state law and capital-rule distribution limits</t>
  </si>
  <si>
    <t>CAP-04</t>
  </si>
  <si>
    <t>Oversee company-run / supervisory stress testing (DFAST)</t>
  </si>
  <si>
    <t>Dodd-Frank s.165(i); stress-test rules</t>
  </si>
  <si>
    <t>12 CFR 252.44-.46 (Fed); 12 CFR 46 (OCC)</t>
  </si>
  <si>
    <t>Congress; Fed; OCC</t>
  </si>
  <si>
    <t>Large banks</t>
  </si>
  <si>
    <t>Multiple overlapping stress regimes (DFAST + CCAR + liquidity)</t>
  </si>
  <si>
    <t>LIQ-01</t>
  </si>
  <si>
    <t>Liquidity</t>
  </si>
  <si>
    <t>Approve an acceptable liquidity-risk tolerance (at least annually)</t>
  </si>
  <si>
    <t>Reg YY enhanced liquidity standards</t>
  </si>
  <si>
    <t>12 CFR 252.34</t>
  </si>
  <si>
    <t>BHCs &gt;= $100B</t>
  </si>
  <si>
    <t>Discrete annual board approval among many</t>
  </si>
  <si>
    <t>LIQ-02</t>
  </si>
  <si>
    <t>Review liquidity-risk information / stress-test results periodically</t>
  </si>
  <si>
    <t>Review</t>
  </si>
  <si>
    <t>Reg YY</t>
  </si>
  <si>
    <t>12 CFR 252.35</t>
  </si>
  <si>
    <t>Periodic</t>
  </si>
  <si>
    <t>Review cadence drives heavy board-packet content</t>
  </si>
  <si>
    <t>AUD-01</t>
  </si>
  <si>
    <t>Audit / Reporting</t>
  </si>
  <si>
    <t>Establish an independent audit committee</t>
  </si>
  <si>
    <t>FDICIA s.36; Part 363</t>
  </si>
  <si>
    <t>12 USC 1831m; 12 CFR 363.5</t>
  </si>
  <si>
    <t>Congress; FDIC</t>
  </si>
  <si>
    <t>IDIs &gt;= $1B (enhanced &gt;= $3B)</t>
  </si>
  <si>
    <t>Overlaps SOX s.301 and exchange-listing standards</t>
  </si>
  <si>
    <t>AUD-02</t>
  </si>
  <si>
    <t>Ensure annual audited financials + management internal-control report</t>
  </si>
  <si>
    <t>FDICIA Part 363</t>
  </si>
  <si>
    <t>12 CFR 363.2-.3</t>
  </si>
  <si>
    <t>FDIC</t>
  </si>
  <si>
    <t>IDIs &gt;= $500M</t>
  </si>
  <si>
    <t>Management report overlaps SOX 404</t>
  </si>
  <si>
    <t>AUD-03</t>
  </si>
  <si>
    <t>Appoint, compensate &amp; oversee the independent public accountant</t>
  </si>
  <si>
    <t>FDICIA Part 363; SOX s.301</t>
  </si>
  <si>
    <t>12 CFR 363.5; 15 USC 78j-1</t>
  </si>
  <si>
    <t>FDIC; SEC</t>
  </si>
  <si>
    <t>Large IDIs; public companies</t>
  </si>
  <si>
    <t>Same duty under bank-regulatory and securities regimes</t>
  </si>
  <si>
    <t>AUD-04</t>
  </si>
  <si>
    <t>Oversee internal control over financial reporting (ICFR)</t>
  </si>
  <si>
    <t>Sarbanes-Oxley s.404</t>
  </si>
  <si>
    <t>15 USC 7262</t>
  </si>
  <si>
    <t>SEC</t>
  </si>
  <si>
    <t>Public companies</t>
  </si>
  <si>
    <t>Overlaps Part 363 management report</t>
  </si>
  <si>
    <t>AUD-05</t>
  </si>
  <si>
    <t>Approve internal-audit charter; oversee internal-audit function</t>
  </si>
  <si>
    <t>SR 13-1 / IPPF; Heightened Standards</t>
  </si>
  <si>
    <t>SR 13-1; 12 CFR 30 App. D</t>
  </si>
  <si>
    <t>Internal-audit oversight duplicated across instruments</t>
  </si>
  <si>
    <t>AUD-06</t>
  </si>
  <si>
    <t>Sign / attest to the correctness of the Call Report</t>
  </si>
  <si>
    <t>12 USC 161; FFIEC reporting</t>
  </si>
  <si>
    <t>FFIEC 031/041; 12 USC 161</t>
  </si>
  <si>
    <t>Congress; FFIEC</t>
  </si>
  <si>
    <t>All banks (director attestation)</t>
  </si>
  <si>
    <t>Quarterly</t>
  </si>
  <si>
    <t>Director-level attestation obligation</t>
  </si>
  <si>
    <t>BSA-01</t>
  </si>
  <si>
    <t>BSA / AML</t>
  </si>
  <si>
    <t>Approve the written BSA/AML compliance program; reflect in minutes</t>
  </si>
  <si>
    <t>BSA program rules</t>
  </si>
  <si>
    <t>12 USC 1818(s); 12 CFR 21.21 (OCC); 208.63 (Fed); 326.8 (FDIC)</t>
  </si>
  <si>
    <t>TEXTBOOK duplication: same duty in 3 agencies' near-identical rules</t>
  </si>
  <si>
    <t>BSA-02</t>
  </si>
  <si>
    <t>Designate a qualified BSA compliance officer</t>
  </si>
  <si>
    <t>Designate</t>
  </si>
  <si>
    <t>12 CFR 21.21(d)(3); 208.63(c)(3); 326.8(c)(3)</t>
  </si>
  <si>
    <t>OCC; Fed; FDIC</t>
  </si>
  <si>
    <t>Tripled across agencies</t>
  </si>
  <si>
    <t>BSA-03</t>
  </si>
  <si>
    <t>Oversee internal controls for ongoing BSA compliance</t>
  </si>
  <si>
    <t>12 CFR 21.21(d)(1); 208.63(c)(1); 326.8(c)(1)</t>
  </si>
  <si>
    <t>BSA-04</t>
  </si>
  <si>
    <t>Receive / be aware of independent BSA testing results</t>
  </si>
  <si>
    <t>FFIEC BSA/AML Manual</t>
  </si>
  <si>
    <t>FFIEC Manual</t>
  </si>
  <si>
    <t>FFIEC</t>
  </si>
  <si>
    <t>Manual translates the rule into granular board expectations</t>
  </si>
  <si>
    <t>BSA-05</t>
  </si>
  <si>
    <t>Oversee OFAC sanctions-compliance program</t>
  </si>
  <si>
    <t>OFAC framework; FFIEC Manual</t>
  </si>
  <si>
    <t>31 CFR Ch. V; FFIEC Manual</t>
  </si>
  <si>
    <t>Treasury (OFAC); FFIEC</t>
  </si>
  <si>
    <t>Adjacent to but separate from BSA program</t>
  </si>
  <si>
    <t>LEND-01</t>
  </si>
  <si>
    <t>Lending / Credit</t>
  </si>
  <si>
    <t>Adopt a written real-estate lending policy; review at least annually</t>
  </si>
  <si>
    <t>Adopt</t>
  </si>
  <si>
    <t>FDI Act s.304; RE lending standards</t>
  </si>
  <si>
    <t>12 USC 1828(o); 12 CFR 34 subpt. D &amp; App. A (OCC)</t>
  </si>
  <si>
    <t>Same standards across agencies; one of many policy adoptions</t>
  </si>
  <si>
    <t>LEND-02</t>
  </si>
  <si>
    <t>Oversee the appraisal / evaluation program &amp; independence</t>
  </si>
  <si>
    <t>Title XI FIRREA; appraisal rules</t>
  </si>
  <si>
    <t>12 USC 3331 et seq.; 12 CFR 34 subpt. C</t>
  </si>
  <si>
    <t>Discrete program-oversight duty</t>
  </si>
  <si>
    <t>LEND-03</t>
  </si>
  <si>
    <t>Oversee the allowance methodology (ACL / CECL)</t>
  </si>
  <si>
    <t>Interagency Policy Statement on ACL</t>
  </si>
  <si>
    <t>SR 20-12</t>
  </si>
  <si>
    <t>'Oversee' expands into detailed model &amp; governance expectations</t>
  </si>
  <si>
    <t>LEND-04</t>
  </si>
  <si>
    <t>Adopt an investment-securities / portfolio policy</t>
  </si>
  <si>
    <t>Interagency investment guidance</t>
  </si>
  <si>
    <t>SR 98-12</t>
  </si>
  <si>
    <t>Another discrete policy approval on the pile</t>
  </si>
  <si>
    <t>INS-01</t>
  </si>
  <si>
    <t>Insider Transactions</t>
  </si>
  <si>
    <t>Approve insider loans above regulatory thresholds in advance</t>
  </si>
  <si>
    <t>Regulation O</t>
  </si>
  <si>
    <t>12 CFR 215.4(b)</t>
  </si>
  <si>
    <t>Fed (all banks via cross-ref)</t>
  </si>
  <si>
    <t>Recurring transaction-level board approvals</t>
  </si>
  <si>
    <t>INS-02</t>
  </si>
  <si>
    <t>Maintain records / annual processes for insider-credit compliance</t>
  </si>
  <si>
    <t>12 CFR 215.8</t>
  </si>
  <si>
    <t>Recordkeeping cascade beneath the approval duty</t>
  </si>
  <si>
    <t>INS-03</t>
  </si>
  <si>
    <t>Oversee policies governing transactions with affiliates (23A/23B)</t>
  </si>
  <si>
    <t>FRA s.23A/23B; Regulation W</t>
  </si>
  <si>
    <t>12 USC 371c, 371c-1; 12 CFR 223</t>
  </si>
  <si>
    <t>Reg W mechanics partly predate modern (post-LCR) balance sheet</t>
  </si>
  <si>
    <t>COMP-01</t>
  </si>
  <si>
    <t>Compensation</t>
  </si>
  <si>
    <t>Oversee incentive-compensation arrangements; balance risk-taking</t>
  </si>
  <si>
    <t>Interagency Sound Incentive Compensation Guidance</t>
  </si>
  <si>
    <t>SR 10-9 / 75 FR 36395</t>
  </si>
  <si>
    <t>Dodd-Frank s.956 rule never finalized; guidance is de facto standard</t>
  </si>
  <si>
    <t>COMP-02</t>
  </si>
  <si>
    <t>Oversee compliance with golden-parachute / severance restrictions</t>
  </si>
  <si>
    <t>FDI Act s.18(k); Part 359</t>
  </si>
  <si>
    <t>12 USC 1828(k); 12 CFR 359</t>
  </si>
  <si>
    <t>Discrete compensation-oversight duty</t>
  </si>
  <si>
    <t>COMP-03</t>
  </si>
  <si>
    <t>Maintain an independent compensation committee; oversee say-on-pay</t>
  </si>
  <si>
    <t>Dodd-Frank s.952; exchange listing</t>
  </si>
  <si>
    <t>15 USC 78j-3</t>
  </si>
  <si>
    <t>Congress; SEC; exchanges</t>
  </si>
  <si>
    <t>Overlaps bank-regulatory comp oversight and listing rules</t>
  </si>
  <si>
    <t>OPS-01</t>
  </si>
  <si>
    <t>Info Security / Ops</t>
  </si>
  <si>
    <t>Approve the written information-security program; oversee it</t>
  </si>
  <si>
    <t>GLBA s.501(b); Interagency Info Security Standards</t>
  </si>
  <si>
    <t>15 USC 6801; 12 CFR 30 App. B (OCC); 208 App. D-2 (Fed); 364 App. B (FDIC)</t>
  </si>
  <si>
    <t>Same program-approval duty across three agencies</t>
  </si>
  <si>
    <t>OPS-02</t>
  </si>
  <si>
    <t>Oversee third-party / vendor risk management</t>
  </si>
  <si>
    <t>Interagency Third-Party Risk Guidance (2023)</t>
  </si>
  <si>
    <t>SR 23-4 / 88 FR 37920</t>
  </si>
  <si>
    <t>NB: OCC 2020 FAQ removed board 'approve every contract' reading — a documented de-sludging</t>
  </si>
  <si>
    <t>OPS-03</t>
  </si>
  <si>
    <t>Oversee business continuity &amp; operational resilience</t>
  </si>
  <si>
    <t>FFIEC BCM booklet</t>
  </si>
  <si>
    <t>FFIEC IT Handbook (BCM)</t>
  </si>
  <si>
    <t>Handbook expectations far exceed any rule text</t>
  </si>
  <si>
    <t>OPS-04</t>
  </si>
  <si>
    <t>Be informed of significant cybersecurity incidents (36-hr notice)</t>
  </si>
  <si>
    <t>Computer-Security Incident Notification Rule</t>
  </si>
  <si>
    <t>12 CFR 53 (OCC); 225 subpt. N (Fed); 304 (FDIC)</t>
  </si>
  <si>
    <t>Notification duty mirrored across three agencies</t>
  </si>
  <si>
    <t>CON-01</t>
  </si>
  <si>
    <t>Consumer / CRA</t>
  </si>
  <si>
    <t>Oversee the consumer compliance management system (CMS)</t>
  </si>
  <si>
    <t>Interagency / CFPB exam framework</t>
  </si>
  <si>
    <t>CFPB Exam Manual; FFIEC</t>
  </si>
  <si>
    <t>CFPB; FFIEC</t>
  </si>
  <si>
    <t>Umbrella board duty over many consumer regs</t>
  </si>
  <si>
    <t>CON-02</t>
  </si>
  <si>
    <t>Oversee CRA performance &amp; program</t>
  </si>
  <si>
    <t>CRA</t>
  </si>
  <si>
    <t>12 USC 2901; 12 CFR 25 (OCC); 228 (Fed); 345 (FDIC)</t>
  </si>
  <si>
    <t>Assessment-area concept under strain; 2023 rule partly enjoined/in flux</t>
  </si>
  <si>
    <t>CON-03</t>
  </si>
  <si>
    <t>Oversee fair-lending compliance (ECOA, FHA, HMDA)</t>
  </si>
  <si>
    <t>ECOA / FHA / HMDA</t>
  </si>
  <si>
    <t>15 USC 1691; 42 USC 3601; 12 USC 2801</t>
  </si>
  <si>
    <t>Congress; CFPB; FBAs</t>
  </si>
  <si>
    <t>Folded into CMS oversight (CON-01)</t>
  </si>
  <si>
    <t>CON-04</t>
  </si>
  <si>
    <t>Oversee flood-insurance compliance program</t>
  </si>
  <si>
    <t>Flood Disaster Protection Act</t>
  </si>
  <si>
    <t>42 USC 4012a; 12 CFR 22/208/339</t>
  </si>
  <si>
    <t>Congress; FBAs</t>
  </si>
  <si>
    <t>Discrete program oversight inside the CMS</t>
  </si>
  <si>
    <t>FID-01</t>
  </si>
  <si>
    <t>Fiduciary / Trust</t>
  </si>
  <si>
    <t>Be responsible for proper exercise of fiduciary powers; adopt policies</t>
  </si>
  <si>
    <t>Regulation 9</t>
  </si>
  <si>
    <t>12 CFR 9.6</t>
  </si>
  <si>
    <t>Nat'l banks with trust powers</t>
  </si>
  <si>
    <t>Board-level responsibility for trust activities</t>
  </si>
  <si>
    <t>FID-02</t>
  </si>
  <si>
    <t>Ensure annual review of all fiduciary accounts</t>
  </si>
  <si>
    <t>12 CFR 9.6(c)</t>
  </si>
  <si>
    <t>Account-by-account review obligation</t>
  </si>
  <si>
    <t>FID-03</t>
  </si>
  <si>
    <t>Assign / oversee an audit of fiduciary activities</t>
  </si>
  <si>
    <t>12 CFR 9.9</t>
  </si>
  <si>
    <t>Separate from the financial-statement audit</t>
  </si>
  <si>
    <t>RES-01</t>
  </si>
  <si>
    <t>Resolution</t>
  </si>
  <si>
    <t>Approve the resolution plan (living will)</t>
  </si>
  <si>
    <t>Dodd-Frank s.165(d); Reg QQ / Part 381</t>
  </si>
  <si>
    <t>12 CFR 243 (Fed); 12 CFR 381 (FDIC)</t>
  </si>
  <si>
    <t>Congress; Fed; FDIC</t>
  </si>
  <si>
    <t>Large BHCs &gt;= $250B (orig $50B)</t>
  </si>
  <si>
    <t>Distinct from OCC recovery plan (SS-04); thresholds raised over time</t>
  </si>
  <si>
    <t>STR-01</t>
  </si>
  <si>
    <t>Strategy / Corporate</t>
  </si>
  <si>
    <t>Approve the strategic plan / business plan</t>
  </si>
  <si>
    <t>SR 21-3; OCC Director's Book; licensing</t>
  </si>
  <si>
    <t>SR 21-3; OCC Director's Book</t>
  </si>
  <si>
    <t>All banks (de novo: required)</t>
  </si>
  <si>
    <t>Recurs across guidance and licensing conditions</t>
  </si>
  <si>
    <t>STR-02</t>
  </si>
  <si>
    <t>Adopt a code of ethics / conflicts-of-interest policy</t>
  </si>
  <si>
    <t>SOX s.406; Part 363; safety-soundness guidelines</t>
  </si>
  <si>
    <t>15 USC 7264; 12 CFR 363 App. A</t>
  </si>
  <si>
    <t>SEC; FDIC; FBAs</t>
  </si>
  <si>
    <t>Public cos.; large IDIs</t>
  </si>
  <si>
    <t>Duplicated across securities and bank-regulatory regimes</t>
  </si>
  <si>
    <t>STR-03</t>
  </si>
  <si>
    <t>Approve mergers, charter changes &amp; major corporate transactions</t>
  </si>
  <si>
    <t>Bank Merger Act; National Bank Act</t>
  </si>
  <si>
    <t>12 USC 1828(c); 215a</t>
  </si>
  <si>
    <t>Overlaps state corporate-law approval requirements</t>
  </si>
  <si>
    <t>STR-04</t>
  </si>
  <si>
    <t>Establish and oversee the internal control system</t>
  </si>
  <si>
    <t>FDI Act s.39; Part 363</t>
  </si>
  <si>
    <t>12 USC 1831p-1; 12 CFR 363</t>
  </si>
  <si>
    <t>Congress; FDIC; FBAs</t>
  </si>
  <si>
    <t>Internal-control duty recurs in BSA, info-sec, SOX, ACL</t>
  </si>
  <si>
    <t>Duplication &amp; Layering Clusters — Where to Cut First</t>
  </si>
  <si>
    <t>Substantive duties that land on the board through multiple instruments or agencies. These are the highest-yield consolidation targets.</t>
  </si>
  <si>
    <t>#</t>
  </si>
  <si>
    <t>Cluster (the underlying duty)</t>
  </si>
  <si>
    <t>Where it appears (instruments)</t>
  </si>
  <si>
    <t>Mechanism</t>
  </si>
  <si>
    <t>Why it's sludge</t>
  </si>
  <si>
    <t>Reform lever</t>
  </si>
  <si>
    <t>Approve the BSA/AML compliance program</t>
  </si>
  <si>
    <t>12 CFR 21.21 (OCC) + 208.63 (Fed) + 326.8 (FDIC); statute 12 USC 1818(s)</t>
  </si>
  <si>
    <t>Duplicative (H)</t>
  </si>
  <si>
    <t>Three agencies impose a near-identical 'board approves the written program &amp; designates the officer' duty; a dual-charter group satisfies the same substance three ways</t>
  </si>
  <si>
    <t>Single interagency program standard; mutual recognition across charters</t>
  </si>
  <si>
    <t>Establish / approve the risk-governance framework &amp; risk appetite</t>
  </si>
  <si>
    <t>OCC Heightened Standards (12 CFR 30 App. D) + Reg YY (12 CFR 252.33) + SR 21-3</t>
  </si>
  <si>
    <t>Duplicative + Cumulative (H)</t>
  </si>
  <si>
    <t>The same framework-and-appetite duty is articulated by OCC standards, Fed regulation, and Fed guidance with subtly different vocabulary</t>
  </si>
  <si>
    <t>Designate one authoritative articulation; cross-map the others to it</t>
  </si>
  <si>
    <t>Maintain an independent audit committee &amp; oversee the external auditor</t>
  </si>
  <si>
    <t>FDICIA Part 363 (12 CFR 363.5) + SOX s.301 (15 USC 78j-1) + exchange listing standards</t>
  </si>
  <si>
    <t>A public bank holding company satisfies three overlapping independence/oversight regimes for one committee</t>
  </si>
  <si>
    <t>Deem compliance: treat SOX/listing compliance as satisfying Part 363 where equivalent</t>
  </si>
  <si>
    <t>Oversee the internal control system</t>
  </si>
  <si>
    <t>FDI Act s.39 guidelines + Part 363 + SOX 404 + BSA rule + info-security guidelines</t>
  </si>
  <si>
    <t>Duplicative + Cascade (H/V)</t>
  </si>
  <si>
    <t>'Internal control' oversight is demanded by at least five instruments, each generating its own board attestations and packets</t>
  </si>
  <si>
    <t>Common controls catalogue; one internal-control oversight report mapped to all regimes</t>
  </si>
  <si>
    <t>The 'approve a written policy/program' pile-on</t>
  </si>
  <si>
    <t>BSA, info-security, RE lending, investment, liquidity tolerance, IRR, ACL, capital, incentive comp, model risk</t>
  </si>
  <si>
    <t>Cumulative (V)</t>
  </si>
  <si>
    <t>~12+ discrete 'board must approve/adopt this policy' duties; individually defensible, collectively they crowd out oversight time</t>
  </si>
  <si>
    <t>One-in-one-out discipline; allow delegation-with-oversight for lower-tier policies; consolidate policy approvals into an annual omnibus</t>
  </si>
  <si>
    <t>Overlapping stress-test &amp; capital governance</t>
  </si>
  <si>
    <t>Capital-plan rule (12 CFR 225.8) + DFAST (252.44-.46 / 12 CFR 46) + liquidity stress (252.35)</t>
  </si>
  <si>
    <t>Board oversight is required separately for capital-plan, company-run stress, supervisory stress, and liquidity stress — heavily overlapping</t>
  </si>
  <si>
    <t>Integrated capital-and-stress governance review; single board approval cycle</t>
  </si>
  <si>
    <t>Information-security program approval</t>
  </si>
  <si>
    <t>GLBA Interagency Info Security Standards: 12 CFR 30 App. B + 208 App. D-2 + 364 App. B</t>
  </si>
  <si>
    <t>Same 'approve &amp; oversee the program' duty in three agency appendices</t>
  </si>
  <si>
    <t>Single interagency information-security standard</t>
  </si>
  <si>
    <t>Cyber-incident notification awareness</t>
  </si>
  <si>
    <t>12 CFR 53 (OCC) + 225 subpt. N (Fed) + 304 (FDIC)</t>
  </si>
  <si>
    <t>Identical 36-hour notification architecture across three agencies</t>
  </si>
  <si>
    <t>One harmonized notification rule</t>
  </si>
  <si>
    <t>Board-vs-management role confusion (structural)</t>
  </si>
  <si>
    <t>Pervasive across SR letters; targeted by SR 21-3/21-4 and OCC 2020 third-party FAQ</t>
  </si>
  <si>
    <t>Cascade (V)</t>
  </si>
  <si>
    <t>Many duties fail to separate board oversight from management execution, pulling boards into operational detail</t>
  </si>
  <si>
    <t>Rewrite duties in oversight-only terms; codify the SR 21-3 board/management split corpus-wide</t>
  </si>
  <si>
    <t>Accumulation of Board Obligations Over Time</t>
  </si>
  <si>
    <t>Count of inventoried obligations by approximate origin year/era. The cumulative-sludge signal: duties accrete, none retire. (Counts via formula over the Inventory sheet.)</t>
  </si>
  <si>
    <t>Era</t>
  </si>
  <si>
    <t>Obligations originating</t>
  </si>
  <si>
    <t>Pre-1933 (National Bank Act era)</t>
  </si>
  <si>
    <t>1933-1976</t>
  </si>
  <si>
    <t>1977-1990 (CRA, BSA, FIRREA)</t>
  </si>
  <si>
    <t>1991-2001 (FDICIA, GLBA)</t>
  </si>
  <si>
    <t>2002-2009 (SOX, Reg W)</t>
  </si>
  <si>
    <t>2010-2016 (Dodd-Frank build-out)</t>
  </si>
  <si>
    <t>2017-2026 (codify / cyber / re-tier)</t>
  </si>
  <si>
    <t>TOTAL inventoried</t>
  </si>
  <si>
    <t>Reading the curve:</t>
  </si>
  <si>
    <t>The mass sits in 1991-2016 — FDICIA's safety-and-soundness build-out and the Dodd-Frank era. None of the earlier duties were retired as new ones landed; that non-retirement is the cumulative-sludge signature. The 2017-2026 bucket is mostly codification (SR 21-3) and cyber, plus the first retirements (SR 21-4 inactivations, FDIC 2023 proposal withdrawal, OCC threshold-raise proposal).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</si>
</sst>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404040"/>
      <name val="Arial"/>
      <charset val="1"/>
    </font>
    <font>
      <sz val="9"/>
      <color rgb="FF404040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  <fill>
      <patternFill patternType="solid">
        <fgColor rgb="FFFFF2CC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1" fontId="5" fillId="4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1" fontId="5" fillId="5" borderId="1" xfId="0" applyNumberFormat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E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1A1A1A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Board obligations by origin 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'Accumulation Timeline'!$B$4</c:f>
              <c:strCache>
                <c:ptCount val="1"/>
                <c:pt idx="0">
                  <c:v>Obligations originating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'Accumulation Timeline'!$A$5:$A$11</c:f>
              <c:strCache>
                <c:ptCount val="7"/>
                <c:pt idx="0">
                  <c:v>Pre-1933 (National Bank Act era)</c:v>
                </c:pt>
                <c:pt idx="1">
                  <c:v>1933-1976</c:v>
                </c:pt>
                <c:pt idx="2">
                  <c:v>1977-1990 (CRA, BSA, FIRREA)</c:v>
                </c:pt>
                <c:pt idx="3">
                  <c:v>1991-2001 (FDICIA, GLBA)</c:v>
                </c:pt>
                <c:pt idx="4">
                  <c:v>2002-2009 (SOX, Reg W)</c:v>
                </c:pt>
                <c:pt idx="5">
                  <c:v>2010-2016 (Dodd-Frank build-out)</c:v>
                </c:pt>
                <c:pt idx="6">
                  <c:v>2017-2026 (codify / cyber / re-tier)</c:v>
                </c:pt>
              </c:strCache>
            </c:strRef>
          </c:cat>
          <c:val>
            <c:numRef>
              <c:f>'Accumulation Timeline'!$B$5:$B$11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6</c:v>
                </c:pt>
                <c:pt idx="5">
                  <c:v>20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2-664D-8E2A-A6B4C5684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0857"/>
        <c:axId val="32254154"/>
      </c:barChart>
      <c:catAx>
        <c:axId val="6350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54154"/>
        <c:crosses val="autoZero"/>
        <c:auto val="1"/>
        <c:lblAlgn val="ctr"/>
        <c:lblOffset val="100"/>
        <c:noMultiLvlLbl val="0"/>
      </c:catAx>
      <c:valAx>
        <c:axId val="32254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0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131040</xdr:rowOff>
    </xdr:from>
    <xdr:to>
      <xdr:col>14</xdr:col>
      <xdr:colOff>473040</xdr:colOff>
      <xdr:row>15</xdr:row>
      <xdr:rowOff>534240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tabSelected="1" zoomScaleNormal="100" workbookViewId="0"/>
  </sheetViews>
  <sheetFormatPr baseColWidth="10" defaultColWidth="8.6640625" defaultRowHeight="15" x14ac:dyDescent="0.2"/>
  <cols>
    <col min="1" max="1" width="30" customWidth="1"/>
    <col min="2" max="2" width="105" customWidth="1"/>
  </cols>
  <sheetData>
    <row r="1" spans="1:2" ht="20" x14ac:dyDescent="0.2">
      <c r="A1" s="2" t="s">
        <v>0</v>
      </c>
    </row>
    <row r="2" spans="1:2" x14ac:dyDescent="0.2">
      <c r="A2" s="3" t="s">
        <v>1</v>
      </c>
    </row>
    <row r="3" spans="1:2" x14ac:dyDescent="0.2">
      <c r="A3" s="4" t="s">
        <v>2</v>
      </c>
    </row>
    <row r="5" spans="1:2" x14ac:dyDescent="0.2">
      <c r="A5" s="5"/>
      <c r="B5" s="6"/>
    </row>
    <row r="6" spans="1:2" x14ac:dyDescent="0.2">
      <c r="A6" s="7" t="s">
        <v>3</v>
      </c>
      <c r="B6" s="8"/>
    </row>
    <row r="7" spans="1:2" ht="26" x14ac:dyDescent="0.2">
      <c r="A7" s="5" t="s">
        <v>4</v>
      </c>
      <c r="B7" s="6" t="s">
        <v>5</v>
      </c>
    </row>
    <row r="8" spans="1:2" ht="26" x14ac:dyDescent="0.2">
      <c r="A8" s="5" t="s">
        <v>6</v>
      </c>
      <c r="B8" s="6" t="s">
        <v>7</v>
      </c>
    </row>
    <row r="9" spans="1:2" ht="26" x14ac:dyDescent="0.2">
      <c r="A9" s="5" t="s">
        <v>8</v>
      </c>
      <c r="B9" s="6" t="s">
        <v>9</v>
      </c>
    </row>
    <row r="10" spans="1:2" x14ac:dyDescent="0.2">
      <c r="A10" s="5"/>
      <c r="B10" s="6"/>
    </row>
    <row r="11" spans="1:2" x14ac:dyDescent="0.2">
      <c r="A11" s="7" t="s">
        <v>10</v>
      </c>
      <c r="B11" s="8"/>
    </row>
    <row r="12" spans="1:2" ht="26" x14ac:dyDescent="0.2">
      <c r="A12" s="5" t="s">
        <v>11</v>
      </c>
      <c r="B12" s="6" t="s">
        <v>12</v>
      </c>
    </row>
    <row r="13" spans="1:2" ht="39" x14ac:dyDescent="0.2">
      <c r="A13" s="5" t="s">
        <v>13</v>
      </c>
      <c r="B13" s="6" t="s">
        <v>14</v>
      </c>
    </row>
    <row r="14" spans="1:2" ht="26" x14ac:dyDescent="0.2">
      <c r="A14" s="5" t="s">
        <v>15</v>
      </c>
      <c r="B14" s="6" t="s">
        <v>16</v>
      </c>
    </row>
    <row r="15" spans="1:2" ht="26" x14ac:dyDescent="0.2">
      <c r="A15" s="5" t="s">
        <v>17</v>
      </c>
      <c r="B15" s="6" t="s">
        <v>18</v>
      </c>
    </row>
    <row r="16" spans="1:2" x14ac:dyDescent="0.2">
      <c r="A16" s="5"/>
      <c r="B16" s="6"/>
    </row>
    <row r="17" spans="1:2" x14ac:dyDescent="0.2">
      <c r="A17" s="7" t="s">
        <v>19</v>
      </c>
      <c r="B17" s="8"/>
    </row>
    <row r="18" spans="1:2" ht="26" x14ac:dyDescent="0.2">
      <c r="A18" s="5" t="s">
        <v>20</v>
      </c>
      <c r="B18" s="6" t="s">
        <v>21</v>
      </c>
    </row>
    <row r="19" spans="1:2" ht="26" x14ac:dyDescent="0.2">
      <c r="A19" s="5" t="s">
        <v>22</v>
      </c>
      <c r="B19" s="6" t="s">
        <v>23</v>
      </c>
    </row>
    <row r="20" spans="1:2" ht="26" x14ac:dyDescent="0.2">
      <c r="A20" s="5" t="s">
        <v>24</v>
      </c>
      <c r="B20" s="6" t="s">
        <v>25</v>
      </c>
    </row>
    <row r="21" spans="1:2" x14ac:dyDescent="0.2">
      <c r="A21" s="5" t="s">
        <v>26</v>
      </c>
      <c r="B21" s="6" t="s">
        <v>27</v>
      </c>
    </row>
    <row r="22" spans="1:2" x14ac:dyDescent="0.2">
      <c r="A22" s="5" t="s">
        <v>28</v>
      </c>
      <c r="B22" s="6" t="s">
        <v>29</v>
      </c>
    </row>
    <row r="23" spans="1:2" x14ac:dyDescent="0.2">
      <c r="A23" s="5"/>
      <c r="B23" s="6"/>
    </row>
    <row r="24" spans="1:2" x14ac:dyDescent="0.2">
      <c r="A24" s="7" t="s">
        <v>30</v>
      </c>
      <c r="B24" s="8"/>
    </row>
    <row r="25" spans="1:2" ht="39" x14ac:dyDescent="0.2">
      <c r="A25" s="5" t="s">
        <v>31</v>
      </c>
      <c r="B25" s="6" t="s">
        <v>32</v>
      </c>
    </row>
    <row r="26" spans="1:2" ht="26" x14ac:dyDescent="0.2">
      <c r="A26" s="5" t="s">
        <v>33</v>
      </c>
      <c r="B26" s="6" t="s">
        <v>34</v>
      </c>
    </row>
    <row r="27" spans="1:2" ht="26" x14ac:dyDescent="0.2">
      <c r="A27" s="5" t="s">
        <v>35</v>
      </c>
      <c r="B27" s="6" t="s">
        <v>36</v>
      </c>
    </row>
    <row r="28" spans="1:2" ht="26" x14ac:dyDescent="0.2">
      <c r="A28" s="5" t="s">
        <v>37</v>
      </c>
      <c r="B28" s="6" t="s">
        <v>38</v>
      </c>
    </row>
    <row r="29" spans="1:2" x14ac:dyDescent="0.2">
      <c r="A29" s="5"/>
      <c r="B29" s="6"/>
    </row>
    <row r="30" spans="1:2" x14ac:dyDescent="0.2">
      <c r="A30" s="7" t="s">
        <v>39</v>
      </c>
      <c r="B30" s="8"/>
    </row>
    <row r="31" spans="1:2" ht="26" x14ac:dyDescent="0.2">
      <c r="A31" s="5" t="s">
        <v>40</v>
      </c>
      <c r="B31" s="6" t="s">
        <v>41</v>
      </c>
    </row>
    <row r="32" spans="1:2" ht="26" x14ac:dyDescent="0.2">
      <c r="A32" s="5" t="s">
        <v>42</v>
      </c>
      <c r="B32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20" customWidth="1"/>
    <col min="3" max="3" width="40" customWidth="1"/>
    <col min="4" max="4" width="12" customWidth="1"/>
    <col min="5" max="5" width="14" customWidth="1"/>
    <col min="6" max="6" width="26" customWidth="1"/>
    <col min="7" max="7" width="30" customWidth="1"/>
    <col min="8" max="8" width="18" customWidth="1"/>
    <col min="9" max="9" width="26" customWidth="1"/>
    <col min="10" max="10" width="9" customWidth="1"/>
    <col min="11" max="12" width="12" customWidth="1"/>
    <col min="13" max="13" width="6" customWidth="1"/>
    <col min="14" max="14" width="40" customWidth="1"/>
  </cols>
  <sheetData>
    <row r="1" spans="1:14" ht="20" x14ac:dyDescent="0.2">
      <c r="A1" s="2" t="s">
        <v>44</v>
      </c>
    </row>
    <row r="2" spans="1:14" x14ac:dyDescent="0.2">
      <c r="A2" s="3" t="s">
        <v>45</v>
      </c>
    </row>
    <row r="4" spans="1:14" ht="28" x14ac:dyDescent="0.2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  <c r="H4" s="9" t="s">
        <v>53</v>
      </c>
      <c r="I4" s="9" t="s">
        <v>54</v>
      </c>
      <c r="J4" s="9" t="s">
        <v>55</v>
      </c>
      <c r="K4" s="9" t="s">
        <v>56</v>
      </c>
      <c r="L4" s="9" t="s">
        <v>57</v>
      </c>
      <c r="M4" s="9" t="s">
        <v>58</v>
      </c>
      <c r="N4" s="9" t="s">
        <v>59</v>
      </c>
    </row>
    <row r="5" spans="1:14" ht="26" x14ac:dyDescent="0.2">
      <c r="A5" s="10" t="s">
        <v>60</v>
      </c>
      <c r="B5" s="11" t="s">
        <v>61</v>
      </c>
      <c r="C5" s="11" t="s">
        <v>62</v>
      </c>
      <c r="D5" s="10" t="s">
        <v>63</v>
      </c>
      <c r="E5" s="10" t="s">
        <v>64</v>
      </c>
      <c r="F5" s="11" t="s">
        <v>65</v>
      </c>
      <c r="G5" s="11" t="s">
        <v>66</v>
      </c>
      <c r="H5" s="10" t="s">
        <v>67</v>
      </c>
      <c r="I5" s="11" t="s">
        <v>68</v>
      </c>
      <c r="J5" s="12">
        <v>1933</v>
      </c>
      <c r="K5" s="10" t="s">
        <v>69</v>
      </c>
      <c r="L5" s="10" t="s">
        <v>26</v>
      </c>
      <c r="M5" s="10" t="s">
        <v>70</v>
      </c>
      <c r="N5" s="11" t="s">
        <v>71</v>
      </c>
    </row>
    <row r="6" spans="1:14" x14ac:dyDescent="0.2">
      <c r="A6" s="13" t="s">
        <v>72</v>
      </c>
      <c r="B6" s="14" t="s">
        <v>61</v>
      </c>
      <c r="C6" s="14" t="s">
        <v>73</v>
      </c>
      <c r="D6" s="13" t="s">
        <v>63</v>
      </c>
      <c r="E6" s="13" t="s">
        <v>64</v>
      </c>
      <c r="F6" s="14" t="s">
        <v>65</v>
      </c>
      <c r="G6" s="14" t="s">
        <v>74</v>
      </c>
      <c r="H6" s="13" t="s">
        <v>67</v>
      </c>
      <c r="I6" s="14" t="s">
        <v>68</v>
      </c>
      <c r="J6" s="15">
        <v>1864</v>
      </c>
      <c r="K6" s="13" t="s">
        <v>69</v>
      </c>
      <c r="L6" s="13" t="s">
        <v>26</v>
      </c>
      <c r="M6" s="13" t="s">
        <v>70</v>
      </c>
      <c r="N6" s="14" t="s">
        <v>75</v>
      </c>
    </row>
    <row r="7" spans="1:14" x14ac:dyDescent="0.2">
      <c r="A7" s="10" t="s">
        <v>76</v>
      </c>
      <c r="B7" s="11" t="s">
        <v>61</v>
      </c>
      <c r="C7" s="11" t="s">
        <v>77</v>
      </c>
      <c r="D7" s="10" t="s">
        <v>63</v>
      </c>
      <c r="E7" s="10" t="s">
        <v>64</v>
      </c>
      <c r="F7" s="11" t="s">
        <v>65</v>
      </c>
      <c r="G7" s="11" t="s">
        <v>74</v>
      </c>
      <c r="H7" s="10" t="s">
        <v>67</v>
      </c>
      <c r="I7" s="11" t="s">
        <v>68</v>
      </c>
      <c r="J7" s="12">
        <v>1864</v>
      </c>
      <c r="K7" s="10" t="s">
        <v>69</v>
      </c>
      <c r="L7" s="10" t="s">
        <v>26</v>
      </c>
      <c r="M7" s="10" t="s">
        <v>70</v>
      </c>
      <c r="N7" s="11" t="s">
        <v>78</v>
      </c>
    </row>
    <row r="8" spans="1:14" x14ac:dyDescent="0.2">
      <c r="A8" s="13" t="s">
        <v>79</v>
      </c>
      <c r="B8" s="14" t="s">
        <v>61</v>
      </c>
      <c r="C8" s="14" t="s">
        <v>80</v>
      </c>
      <c r="D8" s="13" t="s">
        <v>81</v>
      </c>
      <c r="E8" s="13" t="s">
        <v>64</v>
      </c>
      <c r="F8" s="14" t="s">
        <v>65</v>
      </c>
      <c r="G8" s="14" t="s">
        <v>82</v>
      </c>
      <c r="H8" s="13" t="s">
        <v>67</v>
      </c>
      <c r="I8" s="14" t="s">
        <v>68</v>
      </c>
      <c r="J8" s="15">
        <v>1864</v>
      </c>
      <c r="K8" s="13" t="s">
        <v>83</v>
      </c>
      <c r="L8" s="13" t="s">
        <v>70</v>
      </c>
      <c r="M8" s="13" t="s">
        <v>70</v>
      </c>
      <c r="N8" s="14" t="s">
        <v>84</v>
      </c>
    </row>
    <row r="9" spans="1:14" x14ac:dyDescent="0.2">
      <c r="A9" s="10" t="s">
        <v>85</v>
      </c>
      <c r="B9" s="11" t="s">
        <v>61</v>
      </c>
      <c r="C9" s="11" t="s">
        <v>86</v>
      </c>
      <c r="D9" s="10" t="s">
        <v>63</v>
      </c>
      <c r="E9" s="10" t="s">
        <v>64</v>
      </c>
      <c r="F9" s="11" t="s">
        <v>65</v>
      </c>
      <c r="G9" s="11" t="s">
        <v>87</v>
      </c>
      <c r="H9" s="10" t="s">
        <v>67</v>
      </c>
      <c r="I9" s="11" t="s">
        <v>68</v>
      </c>
      <c r="J9" s="12">
        <v>1864</v>
      </c>
      <c r="K9" s="10" t="s">
        <v>88</v>
      </c>
      <c r="L9" s="10" t="s">
        <v>70</v>
      </c>
      <c r="M9" s="10" t="s">
        <v>70</v>
      </c>
      <c r="N9" s="11" t="s">
        <v>89</v>
      </c>
    </row>
    <row r="10" spans="1:14" ht="26" x14ac:dyDescent="0.2">
      <c r="A10" s="13" t="s">
        <v>90</v>
      </c>
      <c r="B10" s="14" t="s">
        <v>61</v>
      </c>
      <c r="C10" s="14" t="s">
        <v>91</v>
      </c>
      <c r="D10" s="13" t="s">
        <v>92</v>
      </c>
      <c r="E10" s="13" t="s">
        <v>93</v>
      </c>
      <c r="F10" s="14" t="s">
        <v>94</v>
      </c>
      <c r="G10" s="14" t="s">
        <v>95</v>
      </c>
      <c r="H10" s="13" t="s">
        <v>96</v>
      </c>
      <c r="I10" s="14" t="s">
        <v>97</v>
      </c>
      <c r="J10" s="15">
        <v>1991</v>
      </c>
      <c r="K10" s="13" t="s">
        <v>98</v>
      </c>
      <c r="L10" s="16" t="s">
        <v>20</v>
      </c>
      <c r="M10" s="13" t="s">
        <v>99</v>
      </c>
      <c r="N10" s="14" t="s">
        <v>100</v>
      </c>
    </row>
    <row r="11" spans="1:14" ht="26" x14ac:dyDescent="0.2">
      <c r="A11" s="10" t="s">
        <v>101</v>
      </c>
      <c r="B11" s="11" t="s">
        <v>61</v>
      </c>
      <c r="C11" s="11" t="s">
        <v>102</v>
      </c>
      <c r="D11" s="10" t="s">
        <v>103</v>
      </c>
      <c r="E11" s="10" t="s">
        <v>93</v>
      </c>
      <c r="F11" s="11" t="s">
        <v>104</v>
      </c>
      <c r="G11" s="11" t="s">
        <v>105</v>
      </c>
      <c r="H11" s="10" t="s">
        <v>106</v>
      </c>
      <c r="I11" s="11" t="s">
        <v>107</v>
      </c>
      <c r="J11" s="12">
        <v>2010</v>
      </c>
      <c r="K11" s="10" t="s">
        <v>69</v>
      </c>
      <c r="L11" s="10" t="s">
        <v>22</v>
      </c>
      <c r="M11" s="10" t="s">
        <v>70</v>
      </c>
      <c r="N11" s="11" t="s">
        <v>108</v>
      </c>
    </row>
    <row r="12" spans="1:14" ht="26" x14ac:dyDescent="0.2">
      <c r="A12" s="13" t="s">
        <v>109</v>
      </c>
      <c r="B12" s="14" t="s">
        <v>61</v>
      </c>
      <c r="C12" s="14" t="s">
        <v>110</v>
      </c>
      <c r="D12" s="13" t="s">
        <v>92</v>
      </c>
      <c r="E12" s="13" t="s">
        <v>111</v>
      </c>
      <c r="F12" s="14" t="s">
        <v>112</v>
      </c>
      <c r="G12" s="14" t="s">
        <v>113</v>
      </c>
      <c r="H12" s="13" t="s">
        <v>114</v>
      </c>
      <c r="I12" s="14" t="s">
        <v>115</v>
      </c>
      <c r="J12" s="15">
        <v>2021</v>
      </c>
      <c r="K12" s="13" t="s">
        <v>69</v>
      </c>
      <c r="L12" s="13" t="s">
        <v>22</v>
      </c>
      <c r="M12" s="13" t="s">
        <v>70</v>
      </c>
      <c r="N12" s="14" t="s">
        <v>116</v>
      </c>
    </row>
    <row r="13" spans="1:14" ht="26" x14ac:dyDescent="0.2">
      <c r="A13" s="10" t="s">
        <v>117</v>
      </c>
      <c r="B13" s="11" t="s">
        <v>61</v>
      </c>
      <c r="C13" s="11" t="s">
        <v>118</v>
      </c>
      <c r="D13" s="10" t="s">
        <v>103</v>
      </c>
      <c r="E13" s="10" t="s">
        <v>111</v>
      </c>
      <c r="F13" s="11" t="s">
        <v>119</v>
      </c>
      <c r="G13" s="11" t="s">
        <v>120</v>
      </c>
      <c r="H13" s="10" t="s">
        <v>121</v>
      </c>
      <c r="I13" s="11" t="s">
        <v>122</v>
      </c>
      <c r="J13" s="12">
        <v>2015</v>
      </c>
      <c r="K13" s="10" t="s">
        <v>69</v>
      </c>
      <c r="L13" s="10" t="s">
        <v>70</v>
      </c>
      <c r="M13" s="10" t="s">
        <v>70</v>
      </c>
      <c r="N13" s="11" t="s">
        <v>123</v>
      </c>
    </row>
    <row r="14" spans="1:14" ht="39" x14ac:dyDescent="0.2">
      <c r="A14" s="13" t="s">
        <v>124</v>
      </c>
      <c r="B14" s="14" t="s">
        <v>125</v>
      </c>
      <c r="C14" s="14" t="s">
        <v>126</v>
      </c>
      <c r="D14" s="13" t="s">
        <v>103</v>
      </c>
      <c r="E14" s="13" t="s">
        <v>93</v>
      </c>
      <c r="F14" s="14" t="s">
        <v>127</v>
      </c>
      <c r="G14" s="14" t="s">
        <v>128</v>
      </c>
      <c r="H14" s="13" t="s">
        <v>129</v>
      </c>
      <c r="I14" s="14" t="s">
        <v>130</v>
      </c>
      <c r="J14" s="15">
        <v>1991</v>
      </c>
      <c r="K14" s="13" t="s">
        <v>69</v>
      </c>
      <c r="L14" s="16" t="s">
        <v>20</v>
      </c>
      <c r="M14" s="13" t="s">
        <v>99</v>
      </c>
      <c r="N14" s="14" t="s">
        <v>131</v>
      </c>
    </row>
    <row r="15" spans="1:14" ht="26" x14ac:dyDescent="0.2">
      <c r="A15" s="10" t="s">
        <v>132</v>
      </c>
      <c r="B15" s="11" t="s">
        <v>125</v>
      </c>
      <c r="C15" s="11" t="s">
        <v>133</v>
      </c>
      <c r="D15" s="10" t="s">
        <v>134</v>
      </c>
      <c r="E15" s="10" t="s">
        <v>135</v>
      </c>
      <c r="F15" s="11" t="s">
        <v>136</v>
      </c>
      <c r="G15" s="11" t="s">
        <v>137</v>
      </c>
      <c r="H15" s="10" t="s">
        <v>138</v>
      </c>
      <c r="I15" s="11" t="s">
        <v>139</v>
      </c>
      <c r="J15" s="12">
        <v>2014</v>
      </c>
      <c r="K15" s="10" t="s">
        <v>69</v>
      </c>
      <c r="L15" s="10" t="s">
        <v>22</v>
      </c>
      <c r="M15" s="10" t="s">
        <v>140</v>
      </c>
      <c r="N15" s="11" t="s">
        <v>141</v>
      </c>
    </row>
    <row r="16" spans="1:14" ht="26" x14ac:dyDescent="0.2">
      <c r="A16" s="13" t="s">
        <v>142</v>
      </c>
      <c r="B16" s="14" t="s">
        <v>125</v>
      </c>
      <c r="C16" s="14" t="s">
        <v>143</v>
      </c>
      <c r="D16" s="13" t="s">
        <v>134</v>
      </c>
      <c r="E16" s="13" t="s">
        <v>135</v>
      </c>
      <c r="F16" s="14" t="s">
        <v>136</v>
      </c>
      <c r="G16" s="14" t="s">
        <v>144</v>
      </c>
      <c r="H16" s="13" t="s">
        <v>138</v>
      </c>
      <c r="I16" s="14" t="s">
        <v>139</v>
      </c>
      <c r="J16" s="15">
        <v>2014</v>
      </c>
      <c r="K16" s="13" t="s">
        <v>69</v>
      </c>
      <c r="L16" s="13" t="s">
        <v>24</v>
      </c>
      <c r="M16" s="13" t="s">
        <v>140</v>
      </c>
      <c r="N16" s="14" t="s">
        <v>145</v>
      </c>
    </row>
    <row r="17" spans="1:14" ht="26" x14ac:dyDescent="0.2">
      <c r="A17" s="10" t="s">
        <v>146</v>
      </c>
      <c r="B17" s="11" t="s">
        <v>125</v>
      </c>
      <c r="C17" s="11" t="s">
        <v>147</v>
      </c>
      <c r="D17" s="10" t="s">
        <v>148</v>
      </c>
      <c r="E17" s="10" t="s">
        <v>135</v>
      </c>
      <c r="F17" s="11" t="s">
        <v>149</v>
      </c>
      <c r="G17" s="11" t="s">
        <v>150</v>
      </c>
      <c r="H17" s="10" t="s">
        <v>138</v>
      </c>
      <c r="I17" s="11" t="s">
        <v>151</v>
      </c>
      <c r="J17" s="12">
        <v>2016</v>
      </c>
      <c r="K17" s="10" t="s">
        <v>88</v>
      </c>
      <c r="L17" s="10" t="s">
        <v>22</v>
      </c>
      <c r="M17" s="10" t="s">
        <v>70</v>
      </c>
      <c r="N17" s="11" t="s">
        <v>152</v>
      </c>
    </row>
    <row r="18" spans="1:14" ht="26" x14ac:dyDescent="0.2">
      <c r="A18" s="13" t="s">
        <v>153</v>
      </c>
      <c r="B18" s="14" t="s">
        <v>125</v>
      </c>
      <c r="C18" s="14" t="s">
        <v>154</v>
      </c>
      <c r="D18" s="13" t="s">
        <v>103</v>
      </c>
      <c r="E18" s="13" t="s">
        <v>111</v>
      </c>
      <c r="F18" s="14" t="s">
        <v>155</v>
      </c>
      <c r="G18" s="14" t="s">
        <v>113</v>
      </c>
      <c r="H18" s="13" t="s">
        <v>114</v>
      </c>
      <c r="I18" s="14" t="s">
        <v>115</v>
      </c>
      <c r="J18" s="15">
        <v>2021</v>
      </c>
      <c r="K18" s="13" t="s">
        <v>69</v>
      </c>
      <c r="L18" s="13" t="s">
        <v>22</v>
      </c>
      <c r="M18" s="13" t="s">
        <v>70</v>
      </c>
      <c r="N18" s="14" t="s">
        <v>156</v>
      </c>
    </row>
    <row r="19" spans="1:14" ht="26" x14ac:dyDescent="0.2">
      <c r="A19" s="10" t="s">
        <v>157</v>
      </c>
      <c r="B19" s="11" t="s">
        <v>158</v>
      </c>
      <c r="C19" s="11" t="s">
        <v>159</v>
      </c>
      <c r="D19" s="10" t="s">
        <v>148</v>
      </c>
      <c r="E19" s="10" t="s">
        <v>160</v>
      </c>
      <c r="F19" s="11" t="s">
        <v>161</v>
      </c>
      <c r="G19" s="11" t="s">
        <v>162</v>
      </c>
      <c r="H19" s="10" t="s">
        <v>163</v>
      </c>
      <c r="I19" s="11" t="s">
        <v>164</v>
      </c>
      <c r="J19" s="12">
        <v>2014</v>
      </c>
      <c r="K19" s="10" t="s">
        <v>88</v>
      </c>
      <c r="L19" s="16" t="s">
        <v>20</v>
      </c>
      <c r="M19" s="10" t="s">
        <v>99</v>
      </c>
      <c r="N19" s="11" t="s">
        <v>165</v>
      </c>
    </row>
    <row r="20" spans="1:14" x14ac:dyDescent="0.2">
      <c r="A20" s="13" t="s">
        <v>166</v>
      </c>
      <c r="B20" s="14" t="s">
        <v>158</v>
      </c>
      <c r="C20" s="14" t="s">
        <v>167</v>
      </c>
      <c r="D20" s="13" t="s">
        <v>148</v>
      </c>
      <c r="E20" s="13" t="s">
        <v>160</v>
      </c>
      <c r="F20" s="14" t="s">
        <v>168</v>
      </c>
      <c r="G20" s="14" t="s">
        <v>162</v>
      </c>
      <c r="H20" s="13" t="s">
        <v>163</v>
      </c>
      <c r="I20" s="14" t="s">
        <v>164</v>
      </c>
      <c r="J20" s="15">
        <v>2014</v>
      </c>
      <c r="K20" s="13" t="s">
        <v>88</v>
      </c>
      <c r="L20" s="16" t="s">
        <v>20</v>
      </c>
      <c r="M20" s="13" t="s">
        <v>99</v>
      </c>
      <c r="N20" s="14" t="s">
        <v>169</v>
      </c>
    </row>
    <row r="21" spans="1:14" ht="26" x14ac:dyDescent="0.2">
      <c r="A21" s="10" t="s">
        <v>170</v>
      </c>
      <c r="B21" s="11" t="s">
        <v>158</v>
      </c>
      <c r="C21" s="11" t="s">
        <v>171</v>
      </c>
      <c r="D21" s="10" t="s">
        <v>103</v>
      </c>
      <c r="E21" s="10" t="s">
        <v>111</v>
      </c>
      <c r="F21" s="11" t="s">
        <v>172</v>
      </c>
      <c r="G21" s="11" t="s">
        <v>113</v>
      </c>
      <c r="H21" s="10" t="s">
        <v>114</v>
      </c>
      <c r="I21" s="11" t="s">
        <v>115</v>
      </c>
      <c r="J21" s="12">
        <v>2021</v>
      </c>
      <c r="K21" s="10" t="s">
        <v>69</v>
      </c>
      <c r="L21" s="10" t="s">
        <v>24</v>
      </c>
      <c r="M21" s="10" t="s">
        <v>140</v>
      </c>
      <c r="N21" s="11" t="s">
        <v>173</v>
      </c>
    </row>
    <row r="22" spans="1:14" x14ac:dyDescent="0.2">
      <c r="A22" s="13" t="s">
        <v>174</v>
      </c>
      <c r="B22" s="14" t="s">
        <v>158</v>
      </c>
      <c r="C22" s="14" t="s">
        <v>175</v>
      </c>
      <c r="D22" s="13" t="s">
        <v>134</v>
      </c>
      <c r="E22" s="13" t="s">
        <v>111</v>
      </c>
      <c r="F22" s="14" t="s">
        <v>176</v>
      </c>
      <c r="G22" s="14" t="s">
        <v>113</v>
      </c>
      <c r="H22" s="13" t="s">
        <v>114</v>
      </c>
      <c r="I22" s="14" t="s">
        <v>115</v>
      </c>
      <c r="J22" s="15">
        <v>2021</v>
      </c>
      <c r="K22" s="13" t="s">
        <v>69</v>
      </c>
      <c r="L22" s="13" t="s">
        <v>22</v>
      </c>
      <c r="M22" s="13" t="s">
        <v>70</v>
      </c>
      <c r="N22" s="14" t="s">
        <v>177</v>
      </c>
    </row>
    <row r="23" spans="1:14" ht="26" x14ac:dyDescent="0.2">
      <c r="A23" s="10" t="s">
        <v>178</v>
      </c>
      <c r="B23" s="11" t="s">
        <v>158</v>
      </c>
      <c r="C23" s="11" t="s">
        <v>179</v>
      </c>
      <c r="D23" s="10" t="s">
        <v>134</v>
      </c>
      <c r="E23" s="10" t="s">
        <v>111</v>
      </c>
      <c r="F23" s="11" t="s">
        <v>180</v>
      </c>
      <c r="G23" s="11" t="s">
        <v>181</v>
      </c>
      <c r="H23" s="10" t="s">
        <v>163</v>
      </c>
      <c r="I23" s="11" t="s">
        <v>182</v>
      </c>
      <c r="J23" s="12">
        <v>2014</v>
      </c>
      <c r="K23" s="10" t="s">
        <v>69</v>
      </c>
      <c r="L23" s="16" t="s">
        <v>20</v>
      </c>
      <c r="M23" s="10" t="s">
        <v>99</v>
      </c>
      <c r="N23" s="11" t="s">
        <v>183</v>
      </c>
    </row>
    <row r="24" spans="1:14" x14ac:dyDescent="0.2">
      <c r="A24" s="13" t="s">
        <v>184</v>
      </c>
      <c r="B24" s="14" t="s">
        <v>158</v>
      </c>
      <c r="C24" s="14" t="s">
        <v>185</v>
      </c>
      <c r="D24" s="13" t="s">
        <v>134</v>
      </c>
      <c r="E24" s="13" t="s">
        <v>111</v>
      </c>
      <c r="F24" s="14" t="s">
        <v>186</v>
      </c>
      <c r="G24" s="14" t="s">
        <v>186</v>
      </c>
      <c r="H24" s="13" t="s">
        <v>114</v>
      </c>
      <c r="I24" s="14" t="s">
        <v>187</v>
      </c>
      <c r="J24" s="15">
        <v>2016</v>
      </c>
      <c r="K24" s="13" t="s">
        <v>69</v>
      </c>
      <c r="L24" s="13" t="s">
        <v>22</v>
      </c>
      <c r="M24" s="13" t="s">
        <v>70</v>
      </c>
      <c r="N24" s="14" t="s">
        <v>188</v>
      </c>
    </row>
    <row r="25" spans="1:14" ht="26" x14ac:dyDescent="0.2">
      <c r="A25" s="10" t="s">
        <v>189</v>
      </c>
      <c r="B25" s="11" t="s">
        <v>158</v>
      </c>
      <c r="C25" s="11" t="s">
        <v>190</v>
      </c>
      <c r="D25" s="10" t="s">
        <v>148</v>
      </c>
      <c r="E25" s="10" t="s">
        <v>111</v>
      </c>
      <c r="F25" s="11" t="s">
        <v>191</v>
      </c>
      <c r="G25" s="11" t="s">
        <v>192</v>
      </c>
      <c r="H25" s="10" t="s">
        <v>193</v>
      </c>
      <c r="I25" s="11" t="s">
        <v>194</v>
      </c>
      <c r="J25" s="12">
        <v>2011</v>
      </c>
      <c r="K25" s="10" t="s">
        <v>69</v>
      </c>
      <c r="L25" s="10" t="s">
        <v>22</v>
      </c>
      <c r="M25" s="10" t="s">
        <v>140</v>
      </c>
      <c r="N25" s="11" t="s">
        <v>195</v>
      </c>
    </row>
    <row r="26" spans="1:14" ht="26" x14ac:dyDescent="0.2">
      <c r="A26" s="13" t="s">
        <v>196</v>
      </c>
      <c r="B26" s="14" t="s">
        <v>158</v>
      </c>
      <c r="C26" s="14" t="s">
        <v>197</v>
      </c>
      <c r="D26" s="13" t="s">
        <v>148</v>
      </c>
      <c r="E26" s="13" t="s">
        <v>111</v>
      </c>
      <c r="F26" s="14" t="s">
        <v>198</v>
      </c>
      <c r="G26" s="14" t="s">
        <v>199</v>
      </c>
      <c r="H26" s="13" t="s">
        <v>193</v>
      </c>
      <c r="I26" s="14" t="s">
        <v>200</v>
      </c>
      <c r="J26" s="15">
        <v>1996</v>
      </c>
      <c r="K26" s="13" t="s">
        <v>88</v>
      </c>
      <c r="L26" s="13" t="s">
        <v>22</v>
      </c>
      <c r="M26" s="13" t="s">
        <v>140</v>
      </c>
      <c r="N26" s="14" t="s">
        <v>201</v>
      </c>
    </row>
    <row r="27" spans="1:14" ht="26" x14ac:dyDescent="0.2">
      <c r="A27" s="10" t="s">
        <v>202</v>
      </c>
      <c r="B27" s="11" t="s">
        <v>158</v>
      </c>
      <c r="C27" s="11" t="s">
        <v>203</v>
      </c>
      <c r="D27" s="10" t="s">
        <v>134</v>
      </c>
      <c r="E27" s="10" t="s">
        <v>111</v>
      </c>
      <c r="F27" s="11" t="s">
        <v>204</v>
      </c>
      <c r="G27" s="11" t="s">
        <v>205</v>
      </c>
      <c r="H27" s="10" t="s">
        <v>193</v>
      </c>
      <c r="I27" s="11" t="s">
        <v>206</v>
      </c>
      <c r="J27" s="12">
        <v>2006</v>
      </c>
      <c r="K27" s="10" t="s">
        <v>69</v>
      </c>
      <c r="L27" s="10" t="s">
        <v>24</v>
      </c>
      <c r="M27" s="10" t="s">
        <v>140</v>
      </c>
      <c r="N27" s="11" t="s">
        <v>207</v>
      </c>
    </row>
    <row r="28" spans="1:14" ht="26" x14ac:dyDescent="0.2">
      <c r="A28" s="13" t="s">
        <v>208</v>
      </c>
      <c r="B28" s="14" t="s">
        <v>209</v>
      </c>
      <c r="C28" s="14" t="s">
        <v>210</v>
      </c>
      <c r="D28" s="13" t="s">
        <v>148</v>
      </c>
      <c r="E28" s="13" t="s">
        <v>211</v>
      </c>
      <c r="F28" s="14" t="s">
        <v>212</v>
      </c>
      <c r="G28" s="14" t="s">
        <v>213</v>
      </c>
      <c r="H28" s="13" t="s">
        <v>114</v>
      </c>
      <c r="I28" s="14" t="s">
        <v>214</v>
      </c>
      <c r="J28" s="15">
        <v>2011</v>
      </c>
      <c r="K28" s="13" t="s">
        <v>88</v>
      </c>
      <c r="L28" s="13" t="s">
        <v>22</v>
      </c>
      <c r="M28" s="13" t="s">
        <v>70</v>
      </c>
      <c r="N28" s="14" t="s">
        <v>215</v>
      </c>
    </row>
    <row r="29" spans="1:14" ht="26" x14ac:dyDescent="0.2">
      <c r="A29" s="10" t="s">
        <v>216</v>
      </c>
      <c r="B29" s="11" t="s">
        <v>209</v>
      </c>
      <c r="C29" s="11" t="s">
        <v>217</v>
      </c>
      <c r="D29" s="10" t="s">
        <v>134</v>
      </c>
      <c r="E29" s="10" t="s">
        <v>111</v>
      </c>
      <c r="F29" s="11" t="s">
        <v>218</v>
      </c>
      <c r="G29" s="11" t="s">
        <v>219</v>
      </c>
      <c r="H29" s="10" t="s">
        <v>114</v>
      </c>
      <c r="I29" s="11" t="s">
        <v>220</v>
      </c>
      <c r="J29" s="12">
        <v>2015</v>
      </c>
      <c r="K29" s="10" t="s">
        <v>69</v>
      </c>
      <c r="L29" s="10" t="s">
        <v>22</v>
      </c>
      <c r="M29" s="10" t="s">
        <v>140</v>
      </c>
      <c r="N29" s="11" t="s">
        <v>221</v>
      </c>
    </row>
    <row r="30" spans="1:14" ht="26" x14ac:dyDescent="0.2">
      <c r="A30" s="13" t="s">
        <v>222</v>
      </c>
      <c r="B30" s="14" t="s">
        <v>209</v>
      </c>
      <c r="C30" s="14" t="s">
        <v>223</v>
      </c>
      <c r="D30" s="13" t="s">
        <v>148</v>
      </c>
      <c r="E30" s="13" t="s">
        <v>93</v>
      </c>
      <c r="F30" s="14" t="s">
        <v>224</v>
      </c>
      <c r="G30" s="14" t="s">
        <v>225</v>
      </c>
      <c r="H30" s="13" t="s">
        <v>226</v>
      </c>
      <c r="I30" s="14" t="s">
        <v>68</v>
      </c>
      <c r="J30" s="15">
        <v>1864</v>
      </c>
      <c r="K30" s="13" t="s">
        <v>98</v>
      </c>
      <c r="L30" s="16" t="s">
        <v>20</v>
      </c>
      <c r="M30" s="13" t="s">
        <v>99</v>
      </c>
      <c r="N30" s="14" t="s">
        <v>227</v>
      </c>
    </row>
    <row r="31" spans="1:14" ht="26" x14ac:dyDescent="0.2">
      <c r="A31" s="10" t="s">
        <v>228</v>
      </c>
      <c r="B31" s="11" t="s">
        <v>209</v>
      </c>
      <c r="C31" s="11" t="s">
        <v>229</v>
      </c>
      <c r="D31" s="10" t="s">
        <v>134</v>
      </c>
      <c r="E31" s="10" t="s">
        <v>93</v>
      </c>
      <c r="F31" s="11" t="s">
        <v>230</v>
      </c>
      <c r="G31" s="11" t="s">
        <v>231</v>
      </c>
      <c r="H31" s="10" t="s">
        <v>232</v>
      </c>
      <c r="I31" s="11" t="s">
        <v>233</v>
      </c>
      <c r="J31" s="12">
        <v>2012</v>
      </c>
      <c r="K31" s="10" t="s">
        <v>88</v>
      </c>
      <c r="L31" s="16" t="s">
        <v>20</v>
      </c>
      <c r="M31" s="10" t="s">
        <v>99</v>
      </c>
      <c r="N31" s="11" t="s">
        <v>234</v>
      </c>
    </row>
    <row r="32" spans="1:14" ht="26" x14ac:dyDescent="0.2">
      <c r="A32" s="13" t="s">
        <v>235</v>
      </c>
      <c r="B32" s="14" t="s">
        <v>236</v>
      </c>
      <c r="C32" s="14" t="s">
        <v>237</v>
      </c>
      <c r="D32" s="13" t="s">
        <v>148</v>
      </c>
      <c r="E32" s="13" t="s">
        <v>211</v>
      </c>
      <c r="F32" s="14" t="s">
        <v>238</v>
      </c>
      <c r="G32" s="14" t="s">
        <v>239</v>
      </c>
      <c r="H32" s="13" t="s">
        <v>114</v>
      </c>
      <c r="I32" s="14" t="s">
        <v>240</v>
      </c>
      <c r="J32" s="15">
        <v>2014</v>
      </c>
      <c r="K32" s="13" t="s">
        <v>88</v>
      </c>
      <c r="L32" s="13" t="s">
        <v>22</v>
      </c>
      <c r="M32" s="13" t="s">
        <v>70</v>
      </c>
      <c r="N32" s="14" t="s">
        <v>241</v>
      </c>
    </row>
    <row r="33" spans="1:14" ht="26" x14ac:dyDescent="0.2">
      <c r="A33" s="10" t="s">
        <v>242</v>
      </c>
      <c r="B33" s="11" t="s">
        <v>236</v>
      </c>
      <c r="C33" s="11" t="s">
        <v>243</v>
      </c>
      <c r="D33" s="10" t="s">
        <v>244</v>
      </c>
      <c r="E33" s="10" t="s">
        <v>211</v>
      </c>
      <c r="F33" s="11" t="s">
        <v>245</v>
      </c>
      <c r="G33" s="11" t="s">
        <v>246</v>
      </c>
      <c r="H33" s="10" t="s">
        <v>114</v>
      </c>
      <c r="I33" s="11" t="s">
        <v>240</v>
      </c>
      <c r="J33" s="12">
        <v>2014</v>
      </c>
      <c r="K33" s="10" t="s">
        <v>247</v>
      </c>
      <c r="L33" s="10" t="s">
        <v>24</v>
      </c>
      <c r="M33" s="10" t="s">
        <v>140</v>
      </c>
      <c r="N33" s="11" t="s">
        <v>248</v>
      </c>
    </row>
    <row r="34" spans="1:14" x14ac:dyDescent="0.2">
      <c r="A34" s="13" t="s">
        <v>249</v>
      </c>
      <c r="B34" s="14" t="s">
        <v>250</v>
      </c>
      <c r="C34" s="14" t="s">
        <v>251</v>
      </c>
      <c r="D34" s="13" t="s">
        <v>103</v>
      </c>
      <c r="E34" s="13" t="s">
        <v>93</v>
      </c>
      <c r="F34" s="14" t="s">
        <v>252</v>
      </c>
      <c r="G34" s="14" t="s">
        <v>253</v>
      </c>
      <c r="H34" s="13" t="s">
        <v>254</v>
      </c>
      <c r="I34" s="14" t="s">
        <v>255</v>
      </c>
      <c r="J34" s="15">
        <v>1991</v>
      </c>
      <c r="K34" s="13" t="s">
        <v>69</v>
      </c>
      <c r="L34" s="16" t="s">
        <v>20</v>
      </c>
      <c r="M34" s="13" t="s">
        <v>99</v>
      </c>
      <c r="N34" s="14" t="s">
        <v>256</v>
      </c>
    </row>
    <row r="35" spans="1:14" ht="26" x14ac:dyDescent="0.2">
      <c r="A35" s="10" t="s">
        <v>257</v>
      </c>
      <c r="B35" s="11" t="s">
        <v>250</v>
      </c>
      <c r="C35" s="11" t="s">
        <v>258</v>
      </c>
      <c r="D35" s="10" t="s">
        <v>92</v>
      </c>
      <c r="E35" s="10" t="s">
        <v>211</v>
      </c>
      <c r="F35" s="11" t="s">
        <v>259</v>
      </c>
      <c r="G35" s="11" t="s">
        <v>260</v>
      </c>
      <c r="H35" s="10" t="s">
        <v>261</v>
      </c>
      <c r="I35" s="11" t="s">
        <v>262</v>
      </c>
      <c r="J35" s="12">
        <v>1993</v>
      </c>
      <c r="K35" s="10" t="s">
        <v>88</v>
      </c>
      <c r="L35" s="10" t="s">
        <v>22</v>
      </c>
      <c r="M35" s="10" t="s">
        <v>140</v>
      </c>
      <c r="N35" s="11" t="s">
        <v>263</v>
      </c>
    </row>
    <row r="36" spans="1:14" ht="26" x14ac:dyDescent="0.2">
      <c r="A36" s="13" t="s">
        <v>264</v>
      </c>
      <c r="B36" s="14" t="s">
        <v>250</v>
      </c>
      <c r="C36" s="14" t="s">
        <v>265</v>
      </c>
      <c r="D36" s="13" t="s">
        <v>134</v>
      </c>
      <c r="E36" s="13" t="s">
        <v>64</v>
      </c>
      <c r="F36" s="14" t="s">
        <v>266</v>
      </c>
      <c r="G36" s="14" t="s">
        <v>267</v>
      </c>
      <c r="H36" s="13" t="s">
        <v>268</v>
      </c>
      <c r="I36" s="14" t="s">
        <v>269</v>
      </c>
      <c r="J36" s="15">
        <v>1993</v>
      </c>
      <c r="K36" s="13" t="s">
        <v>88</v>
      </c>
      <c r="L36" s="16" t="s">
        <v>20</v>
      </c>
      <c r="M36" s="13" t="s">
        <v>99</v>
      </c>
      <c r="N36" s="14" t="s">
        <v>270</v>
      </c>
    </row>
    <row r="37" spans="1:14" x14ac:dyDescent="0.2">
      <c r="A37" s="10" t="s">
        <v>271</v>
      </c>
      <c r="B37" s="11" t="s">
        <v>250</v>
      </c>
      <c r="C37" s="11" t="s">
        <v>272</v>
      </c>
      <c r="D37" s="10" t="s">
        <v>134</v>
      </c>
      <c r="E37" s="10" t="s">
        <v>64</v>
      </c>
      <c r="F37" s="11" t="s">
        <v>273</v>
      </c>
      <c r="G37" s="11" t="s">
        <v>274</v>
      </c>
      <c r="H37" s="10" t="s">
        <v>275</v>
      </c>
      <c r="I37" s="11" t="s">
        <v>276</v>
      </c>
      <c r="J37" s="12">
        <v>2002</v>
      </c>
      <c r="K37" s="10" t="s">
        <v>88</v>
      </c>
      <c r="L37" s="10" t="s">
        <v>22</v>
      </c>
      <c r="M37" s="10" t="s">
        <v>140</v>
      </c>
      <c r="N37" s="11" t="s">
        <v>277</v>
      </c>
    </row>
    <row r="38" spans="1:14" ht="26" x14ac:dyDescent="0.2">
      <c r="A38" s="13" t="s">
        <v>278</v>
      </c>
      <c r="B38" s="14" t="s">
        <v>250</v>
      </c>
      <c r="C38" s="14" t="s">
        <v>279</v>
      </c>
      <c r="D38" s="13" t="s">
        <v>148</v>
      </c>
      <c r="E38" s="13" t="s">
        <v>111</v>
      </c>
      <c r="F38" s="14" t="s">
        <v>280</v>
      </c>
      <c r="G38" s="14" t="s">
        <v>281</v>
      </c>
      <c r="H38" s="13" t="s">
        <v>163</v>
      </c>
      <c r="I38" s="14" t="s">
        <v>233</v>
      </c>
      <c r="J38" s="15">
        <v>2013</v>
      </c>
      <c r="K38" s="13" t="s">
        <v>88</v>
      </c>
      <c r="L38" s="16" t="s">
        <v>20</v>
      </c>
      <c r="M38" s="13" t="s">
        <v>99</v>
      </c>
      <c r="N38" s="14" t="s">
        <v>282</v>
      </c>
    </row>
    <row r="39" spans="1:14" x14ac:dyDescent="0.2">
      <c r="A39" s="10" t="s">
        <v>283</v>
      </c>
      <c r="B39" s="11" t="s">
        <v>250</v>
      </c>
      <c r="C39" s="11" t="s">
        <v>284</v>
      </c>
      <c r="D39" s="10" t="s">
        <v>81</v>
      </c>
      <c r="E39" s="10" t="s">
        <v>93</v>
      </c>
      <c r="F39" s="11" t="s">
        <v>285</v>
      </c>
      <c r="G39" s="11" t="s">
        <v>286</v>
      </c>
      <c r="H39" s="10" t="s">
        <v>287</v>
      </c>
      <c r="I39" s="11" t="s">
        <v>288</v>
      </c>
      <c r="J39" s="12">
        <v>1864</v>
      </c>
      <c r="K39" s="10" t="s">
        <v>289</v>
      </c>
      <c r="L39" s="10" t="s">
        <v>22</v>
      </c>
      <c r="M39" s="10" t="s">
        <v>70</v>
      </c>
      <c r="N39" s="11" t="s">
        <v>290</v>
      </c>
    </row>
    <row r="40" spans="1:14" ht="26" x14ac:dyDescent="0.2">
      <c r="A40" s="13" t="s">
        <v>291</v>
      </c>
      <c r="B40" s="14" t="s">
        <v>292</v>
      </c>
      <c r="C40" s="14" t="s">
        <v>293</v>
      </c>
      <c r="D40" s="13" t="s">
        <v>148</v>
      </c>
      <c r="E40" s="13" t="s">
        <v>93</v>
      </c>
      <c r="F40" s="14" t="s">
        <v>294</v>
      </c>
      <c r="G40" s="14" t="s">
        <v>295</v>
      </c>
      <c r="H40" s="13" t="s">
        <v>129</v>
      </c>
      <c r="I40" s="14" t="s">
        <v>206</v>
      </c>
      <c r="J40" s="15">
        <v>1987</v>
      </c>
      <c r="K40" s="13" t="s">
        <v>69</v>
      </c>
      <c r="L40" s="16" t="s">
        <v>20</v>
      </c>
      <c r="M40" s="13" t="s">
        <v>99</v>
      </c>
      <c r="N40" s="14" t="s">
        <v>296</v>
      </c>
    </row>
    <row r="41" spans="1:14" ht="26" x14ac:dyDescent="0.2">
      <c r="A41" s="10" t="s">
        <v>297</v>
      </c>
      <c r="B41" s="11" t="s">
        <v>292</v>
      </c>
      <c r="C41" s="11" t="s">
        <v>298</v>
      </c>
      <c r="D41" s="10" t="s">
        <v>299</v>
      </c>
      <c r="E41" s="10" t="s">
        <v>211</v>
      </c>
      <c r="F41" s="11" t="s">
        <v>294</v>
      </c>
      <c r="G41" s="11" t="s">
        <v>300</v>
      </c>
      <c r="H41" s="10" t="s">
        <v>301</v>
      </c>
      <c r="I41" s="11" t="s">
        <v>206</v>
      </c>
      <c r="J41" s="12">
        <v>1987</v>
      </c>
      <c r="K41" s="10" t="s">
        <v>69</v>
      </c>
      <c r="L41" s="16" t="s">
        <v>20</v>
      </c>
      <c r="M41" s="10" t="s">
        <v>99</v>
      </c>
      <c r="N41" s="11" t="s">
        <v>302</v>
      </c>
    </row>
    <row r="42" spans="1:14" ht="26" x14ac:dyDescent="0.2">
      <c r="A42" s="13" t="s">
        <v>303</v>
      </c>
      <c r="B42" s="14" t="s">
        <v>292</v>
      </c>
      <c r="C42" s="14" t="s">
        <v>304</v>
      </c>
      <c r="D42" s="13" t="s">
        <v>134</v>
      </c>
      <c r="E42" s="13" t="s">
        <v>211</v>
      </c>
      <c r="F42" s="14" t="s">
        <v>294</v>
      </c>
      <c r="G42" s="14" t="s">
        <v>305</v>
      </c>
      <c r="H42" s="13" t="s">
        <v>301</v>
      </c>
      <c r="I42" s="14" t="s">
        <v>206</v>
      </c>
      <c r="J42" s="15">
        <v>1987</v>
      </c>
      <c r="K42" s="13" t="s">
        <v>69</v>
      </c>
      <c r="L42" s="16" t="s">
        <v>20</v>
      </c>
      <c r="M42" s="13" t="s">
        <v>99</v>
      </c>
      <c r="N42" s="14" t="s">
        <v>302</v>
      </c>
    </row>
    <row r="43" spans="1:14" ht="26" x14ac:dyDescent="0.2">
      <c r="A43" s="10" t="s">
        <v>306</v>
      </c>
      <c r="B43" s="11" t="s">
        <v>292</v>
      </c>
      <c r="C43" s="11" t="s">
        <v>307</v>
      </c>
      <c r="D43" s="10" t="s">
        <v>244</v>
      </c>
      <c r="E43" s="10" t="s">
        <v>111</v>
      </c>
      <c r="F43" s="11" t="s">
        <v>308</v>
      </c>
      <c r="G43" s="11" t="s">
        <v>309</v>
      </c>
      <c r="H43" s="10" t="s">
        <v>310</v>
      </c>
      <c r="I43" s="11" t="s">
        <v>206</v>
      </c>
      <c r="J43" s="12">
        <v>2005</v>
      </c>
      <c r="K43" s="10" t="s">
        <v>247</v>
      </c>
      <c r="L43" s="10" t="s">
        <v>24</v>
      </c>
      <c r="M43" s="10" t="s">
        <v>140</v>
      </c>
      <c r="N43" s="11" t="s">
        <v>311</v>
      </c>
    </row>
    <row r="44" spans="1:14" x14ac:dyDescent="0.2">
      <c r="A44" s="13" t="s">
        <v>312</v>
      </c>
      <c r="B44" s="14" t="s">
        <v>292</v>
      </c>
      <c r="C44" s="14" t="s">
        <v>313</v>
      </c>
      <c r="D44" s="13" t="s">
        <v>134</v>
      </c>
      <c r="E44" s="13" t="s">
        <v>111</v>
      </c>
      <c r="F44" s="14" t="s">
        <v>314</v>
      </c>
      <c r="G44" s="14" t="s">
        <v>315</v>
      </c>
      <c r="H44" s="13" t="s">
        <v>316</v>
      </c>
      <c r="I44" s="14" t="s">
        <v>206</v>
      </c>
      <c r="J44" s="15">
        <v>2003</v>
      </c>
      <c r="K44" s="13" t="s">
        <v>69</v>
      </c>
      <c r="L44" s="13" t="s">
        <v>22</v>
      </c>
      <c r="M44" s="13" t="s">
        <v>70</v>
      </c>
      <c r="N44" s="14" t="s">
        <v>317</v>
      </c>
    </row>
    <row r="45" spans="1:14" ht="26" x14ac:dyDescent="0.2">
      <c r="A45" s="10" t="s">
        <v>318</v>
      </c>
      <c r="B45" s="11" t="s">
        <v>319</v>
      </c>
      <c r="C45" s="11" t="s">
        <v>320</v>
      </c>
      <c r="D45" s="10" t="s">
        <v>321</v>
      </c>
      <c r="E45" s="10" t="s">
        <v>93</v>
      </c>
      <c r="F45" s="11" t="s">
        <v>322</v>
      </c>
      <c r="G45" s="11" t="s">
        <v>323</v>
      </c>
      <c r="H45" s="10" t="s">
        <v>129</v>
      </c>
      <c r="I45" s="11" t="s">
        <v>206</v>
      </c>
      <c r="J45" s="12">
        <v>1992</v>
      </c>
      <c r="K45" s="10" t="s">
        <v>88</v>
      </c>
      <c r="L45" s="16" t="s">
        <v>20</v>
      </c>
      <c r="M45" s="10" t="s">
        <v>99</v>
      </c>
      <c r="N45" s="11" t="s">
        <v>324</v>
      </c>
    </row>
    <row r="46" spans="1:14" ht="26" x14ac:dyDescent="0.2">
      <c r="A46" s="13" t="s">
        <v>325</v>
      </c>
      <c r="B46" s="14" t="s">
        <v>319</v>
      </c>
      <c r="C46" s="14" t="s">
        <v>326</v>
      </c>
      <c r="D46" s="13" t="s">
        <v>134</v>
      </c>
      <c r="E46" s="13" t="s">
        <v>93</v>
      </c>
      <c r="F46" s="14" t="s">
        <v>327</v>
      </c>
      <c r="G46" s="14" t="s">
        <v>328</v>
      </c>
      <c r="H46" s="13" t="s">
        <v>226</v>
      </c>
      <c r="I46" s="14" t="s">
        <v>206</v>
      </c>
      <c r="J46" s="15">
        <v>1989</v>
      </c>
      <c r="K46" s="13" t="s">
        <v>69</v>
      </c>
      <c r="L46" s="13" t="s">
        <v>22</v>
      </c>
      <c r="M46" s="13" t="s">
        <v>70</v>
      </c>
      <c r="N46" s="14" t="s">
        <v>329</v>
      </c>
    </row>
    <row r="47" spans="1:14" ht="26" x14ac:dyDescent="0.2">
      <c r="A47" s="10" t="s">
        <v>330</v>
      </c>
      <c r="B47" s="11" t="s">
        <v>319</v>
      </c>
      <c r="C47" s="11" t="s">
        <v>331</v>
      </c>
      <c r="D47" s="10" t="s">
        <v>134</v>
      </c>
      <c r="E47" s="10" t="s">
        <v>111</v>
      </c>
      <c r="F47" s="11" t="s">
        <v>332</v>
      </c>
      <c r="G47" s="11" t="s">
        <v>333</v>
      </c>
      <c r="H47" s="10" t="s">
        <v>193</v>
      </c>
      <c r="I47" s="11" t="s">
        <v>206</v>
      </c>
      <c r="J47" s="12">
        <v>2020</v>
      </c>
      <c r="K47" s="10" t="s">
        <v>69</v>
      </c>
      <c r="L47" s="10" t="s">
        <v>24</v>
      </c>
      <c r="M47" s="10" t="s">
        <v>140</v>
      </c>
      <c r="N47" s="11" t="s">
        <v>334</v>
      </c>
    </row>
    <row r="48" spans="1:14" ht="26" x14ac:dyDescent="0.2">
      <c r="A48" s="13" t="s">
        <v>335</v>
      </c>
      <c r="B48" s="14" t="s">
        <v>319</v>
      </c>
      <c r="C48" s="14" t="s">
        <v>336</v>
      </c>
      <c r="D48" s="13" t="s">
        <v>321</v>
      </c>
      <c r="E48" s="13" t="s">
        <v>111</v>
      </c>
      <c r="F48" s="14" t="s">
        <v>337</v>
      </c>
      <c r="G48" s="14" t="s">
        <v>338</v>
      </c>
      <c r="H48" s="13" t="s">
        <v>193</v>
      </c>
      <c r="I48" s="14" t="s">
        <v>206</v>
      </c>
      <c r="J48" s="15">
        <v>1998</v>
      </c>
      <c r="K48" s="13" t="s">
        <v>88</v>
      </c>
      <c r="L48" s="13" t="s">
        <v>22</v>
      </c>
      <c r="M48" s="13" t="s">
        <v>140</v>
      </c>
      <c r="N48" s="14" t="s">
        <v>339</v>
      </c>
    </row>
    <row r="49" spans="1:14" ht="26" x14ac:dyDescent="0.2">
      <c r="A49" s="10" t="s">
        <v>340</v>
      </c>
      <c r="B49" s="11" t="s">
        <v>341</v>
      </c>
      <c r="C49" s="11" t="s">
        <v>342</v>
      </c>
      <c r="D49" s="10" t="s">
        <v>148</v>
      </c>
      <c r="E49" s="10" t="s">
        <v>211</v>
      </c>
      <c r="F49" s="11" t="s">
        <v>343</v>
      </c>
      <c r="G49" s="11" t="s">
        <v>344</v>
      </c>
      <c r="H49" s="10" t="s">
        <v>345</v>
      </c>
      <c r="I49" s="11" t="s">
        <v>206</v>
      </c>
      <c r="J49" s="12">
        <v>1978</v>
      </c>
      <c r="K49" s="10" t="s">
        <v>98</v>
      </c>
      <c r="L49" s="10" t="s">
        <v>22</v>
      </c>
      <c r="M49" s="10" t="s">
        <v>70</v>
      </c>
      <c r="N49" s="11" t="s">
        <v>346</v>
      </c>
    </row>
    <row r="50" spans="1:14" ht="26" x14ac:dyDescent="0.2">
      <c r="A50" s="13" t="s">
        <v>347</v>
      </c>
      <c r="B50" s="14" t="s">
        <v>341</v>
      </c>
      <c r="C50" s="14" t="s">
        <v>348</v>
      </c>
      <c r="D50" s="13" t="s">
        <v>92</v>
      </c>
      <c r="E50" s="13" t="s">
        <v>211</v>
      </c>
      <c r="F50" s="14" t="s">
        <v>343</v>
      </c>
      <c r="G50" s="14" t="s">
        <v>349</v>
      </c>
      <c r="H50" s="13" t="s">
        <v>114</v>
      </c>
      <c r="I50" s="14" t="s">
        <v>206</v>
      </c>
      <c r="J50" s="15">
        <v>1978</v>
      </c>
      <c r="K50" s="13" t="s">
        <v>88</v>
      </c>
      <c r="L50" s="13" t="s">
        <v>24</v>
      </c>
      <c r="M50" s="13" t="s">
        <v>140</v>
      </c>
      <c r="N50" s="14" t="s">
        <v>350</v>
      </c>
    </row>
    <row r="51" spans="1:14" ht="26" x14ac:dyDescent="0.2">
      <c r="A51" s="10" t="s">
        <v>351</v>
      </c>
      <c r="B51" s="11" t="s">
        <v>341</v>
      </c>
      <c r="C51" s="11" t="s">
        <v>352</v>
      </c>
      <c r="D51" s="10" t="s">
        <v>134</v>
      </c>
      <c r="E51" s="10" t="s">
        <v>93</v>
      </c>
      <c r="F51" s="11" t="s">
        <v>353</v>
      </c>
      <c r="G51" s="11" t="s">
        <v>354</v>
      </c>
      <c r="H51" s="10" t="s">
        <v>106</v>
      </c>
      <c r="I51" s="11" t="s">
        <v>206</v>
      </c>
      <c r="J51" s="12">
        <v>2003</v>
      </c>
      <c r="K51" s="10" t="s">
        <v>69</v>
      </c>
      <c r="L51" s="10" t="s">
        <v>26</v>
      </c>
      <c r="M51" s="10" t="s">
        <v>140</v>
      </c>
      <c r="N51" s="11" t="s">
        <v>355</v>
      </c>
    </row>
    <row r="52" spans="1:14" ht="26" x14ac:dyDescent="0.2">
      <c r="A52" s="13" t="s">
        <v>356</v>
      </c>
      <c r="B52" s="14" t="s">
        <v>357</v>
      </c>
      <c r="C52" s="14" t="s">
        <v>358</v>
      </c>
      <c r="D52" s="13" t="s">
        <v>134</v>
      </c>
      <c r="E52" s="13" t="s">
        <v>111</v>
      </c>
      <c r="F52" s="14" t="s">
        <v>359</v>
      </c>
      <c r="G52" s="14" t="s">
        <v>360</v>
      </c>
      <c r="H52" s="13" t="s">
        <v>193</v>
      </c>
      <c r="I52" s="14" t="s">
        <v>200</v>
      </c>
      <c r="J52" s="15">
        <v>2010</v>
      </c>
      <c r="K52" s="13" t="s">
        <v>69</v>
      </c>
      <c r="L52" s="13" t="s">
        <v>22</v>
      </c>
      <c r="M52" s="13" t="s">
        <v>140</v>
      </c>
      <c r="N52" s="14" t="s">
        <v>361</v>
      </c>
    </row>
    <row r="53" spans="1:14" ht="26" x14ac:dyDescent="0.2">
      <c r="A53" s="10" t="s">
        <v>362</v>
      </c>
      <c r="B53" s="11" t="s">
        <v>357</v>
      </c>
      <c r="C53" s="11" t="s">
        <v>363</v>
      </c>
      <c r="D53" s="10" t="s">
        <v>134</v>
      </c>
      <c r="E53" s="10" t="s">
        <v>211</v>
      </c>
      <c r="F53" s="11" t="s">
        <v>364</v>
      </c>
      <c r="G53" s="11" t="s">
        <v>365</v>
      </c>
      <c r="H53" s="10" t="s">
        <v>254</v>
      </c>
      <c r="I53" s="11" t="s">
        <v>130</v>
      </c>
      <c r="J53" s="12">
        <v>1996</v>
      </c>
      <c r="K53" s="10" t="s">
        <v>98</v>
      </c>
      <c r="L53" s="10" t="s">
        <v>22</v>
      </c>
      <c r="M53" s="10" t="s">
        <v>70</v>
      </c>
      <c r="N53" s="11" t="s">
        <v>366</v>
      </c>
    </row>
    <row r="54" spans="1:14" ht="26" x14ac:dyDescent="0.2">
      <c r="A54" s="13" t="s">
        <v>367</v>
      </c>
      <c r="B54" s="14" t="s">
        <v>357</v>
      </c>
      <c r="C54" s="14" t="s">
        <v>368</v>
      </c>
      <c r="D54" s="13" t="s">
        <v>103</v>
      </c>
      <c r="E54" s="13" t="s">
        <v>64</v>
      </c>
      <c r="F54" s="14" t="s">
        <v>369</v>
      </c>
      <c r="G54" s="14" t="s">
        <v>370</v>
      </c>
      <c r="H54" s="13" t="s">
        <v>371</v>
      </c>
      <c r="I54" s="14" t="s">
        <v>276</v>
      </c>
      <c r="J54" s="15">
        <v>2010</v>
      </c>
      <c r="K54" s="13" t="s">
        <v>69</v>
      </c>
      <c r="L54" s="16" t="s">
        <v>20</v>
      </c>
      <c r="M54" s="13" t="s">
        <v>99</v>
      </c>
      <c r="N54" s="14" t="s">
        <v>372</v>
      </c>
    </row>
    <row r="55" spans="1:14" ht="26" x14ac:dyDescent="0.2">
      <c r="A55" s="10" t="s">
        <v>373</v>
      </c>
      <c r="B55" s="11" t="s">
        <v>374</v>
      </c>
      <c r="C55" s="11" t="s">
        <v>375</v>
      </c>
      <c r="D55" s="10" t="s">
        <v>148</v>
      </c>
      <c r="E55" s="10" t="s">
        <v>93</v>
      </c>
      <c r="F55" s="11" t="s">
        <v>376</v>
      </c>
      <c r="G55" s="11" t="s">
        <v>377</v>
      </c>
      <c r="H55" s="10" t="s">
        <v>129</v>
      </c>
      <c r="I55" s="11" t="s">
        <v>206</v>
      </c>
      <c r="J55" s="12">
        <v>2001</v>
      </c>
      <c r="K55" s="10" t="s">
        <v>88</v>
      </c>
      <c r="L55" s="16" t="s">
        <v>20</v>
      </c>
      <c r="M55" s="10" t="s">
        <v>99</v>
      </c>
      <c r="N55" s="11" t="s">
        <v>378</v>
      </c>
    </row>
    <row r="56" spans="1:14" ht="26" x14ac:dyDescent="0.2">
      <c r="A56" s="13" t="s">
        <v>379</v>
      </c>
      <c r="B56" s="14" t="s">
        <v>374</v>
      </c>
      <c r="C56" s="14" t="s">
        <v>380</v>
      </c>
      <c r="D56" s="13" t="s">
        <v>134</v>
      </c>
      <c r="E56" s="13" t="s">
        <v>111</v>
      </c>
      <c r="F56" s="14" t="s">
        <v>381</v>
      </c>
      <c r="G56" s="14" t="s">
        <v>382</v>
      </c>
      <c r="H56" s="13" t="s">
        <v>193</v>
      </c>
      <c r="I56" s="14" t="s">
        <v>206</v>
      </c>
      <c r="J56" s="15">
        <v>2023</v>
      </c>
      <c r="K56" s="13" t="s">
        <v>69</v>
      </c>
      <c r="L56" s="13" t="s">
        <v>24</v>
      </c>
      <c r="M56" s="13" t="s">
        <v>140</v>
      </c>
      <c r="N56" s="14" t="s">
        <v>383</v>
      </c>
    </row>
    <row r="57" spans="1:14" x14ac:dyDescent="0.2">
      <c r="A57" s="10" t="s">
        <v>384</v>
      </c>
      <c r="B57" s="11" t="s">
        <v>374</v>
      </c>
      <c r="C57" s="11" t="s">
        <v>385</v>
      </c>
      <c r="D57" s="10" t="s">
        <v>134</v>
      </c>
      <c r="E57" s="10" t="s">
        <v>111</v>
      </c>
      <c r="F57" s="11" t="s">
        <v>386</v>
      </c>
      <c r="G57" s="11" t="s">
        <v>387</v>
      </c>
      <c r="H57" s="10" t="s">
        <v>310</v>
      </c>
      <c r="I57" s="11" t="s">
        <v>206</v>
      </c>
      <c r="J57" s="12">
        <v>2019</v>
      </c>
      <c r="K57" s="10" t="s">
        <v>69</v>
      </c>
      <c r="L57" s="10" t="s">
        <v>24</v>
      </c>
      <c r="M57" s="10" t="s">
        <v>140</v>
      </c>
      <c r="N57" s="11" t="s">
        <v>388</v>
      </c>
    </row>
    <row r="58" spans="1:14" ht="26" x14ac:dyDescent="0.2">
      <c r="A58" s="13" t="s">
        <v>389</v>
      </c>
      <c r="B58" s="14" t="s">
        <v>374</v>
      </c>
      <c r="C58" s="14" t="s">
        <v>390</v>
      </c>
      <c r="D58" s="13" t="s">
        <v>92</v>
      </c>
      <c r="E58" s="13" t="s">
        <v>211</v>
      </c>
      <c r="F58" s="14" t="s">
        <v>391</v>
      </c>
      <c r="G58" s="14" t="s">
        <v>392</v>
      </c>
      <c r="H58" s="13" t="s">
        <v>301</v>
      </c>
      <c r="I58" s="14" t="s">
        <v>206</v>
      </c>
      <c r="J58" s="15">
        <v>2022</v>
      </c>
      <c r="K58" s="13" t="s">
        <v>98</v>
      </c>
      <c r="L58" s="16" t="s">
        <v>20</v>
      </c>
      <c r="M58" s="13" t="s">
        <v>99</v>
      </c>
      <c r="N58" s="14" t="s">
        <v>393</v>
      </c>
    </row>
    <row r="59" spans="1:14" ht="26" x14ac:dyDescent="0.2">
      <c r="A59" s="10" t="s">
        <v>394</v>
      </c>
      <c r="B59" s="11" t="s">
        <v>395</v>
      </c>
      <c r="C59" s="11" t="s">
        <v>396</v>
      </c>
      <c r="D59" s="10" t="s">
        <v>134</v>
      </c>
      <c r="E59" s="10" t="s">
        <v>111</v>
      </c>
      <c r="F59" s="11" t="s">
        <v>397</v>
      </c>
      <c r="G59" s="11" t="s">
        <v>398</v>
      </c>
      <c r="H59" s="10" t="s">
        <v>399</v>
      </c>
      <c r="I59" s="11" t="s">
        <v>206</v>
      </c>
      <c r="J59" s="12">
        <v>2012</v>
      </c>
      <c r="K59" s="10" t="s">
        <v>69</v>
      </c>
      <c r="L59" s="10" t="s">
        <v>22</v>
      </c>
      <c r="M59" s="10" t="s">
        <v>140</v>
      </c>
      <c r="N59" s="11" t="s">
        <v>400</v>
      </c>
    </row>
    <row r="60" spans="1:14" ht="26" x14ac:dyDescent="0.2">
      <c r="A60" s="13" t="s">
        <v>401</v>
      </c>
      <c r="B60" s="14" t="s">
        <v>395</v>
      </c>
      <c r="C60" s="14" t="s">
        <v>402</v>
      </c>
      <c r="D60" s="13" t="s">
        <v>134</v>
      </c>
      <c r="E60" s="13" t="s">
        <v>93</v>
      </c>
      <c r="F60" s="14" t="s">
        <v>403</v>
      </c>
      <c r="G60" s="14" t="s">
        <v>404</v>
      </c>
      <c r="H60" s="13" t="s">
        <v>129</v>
      </c>
      <c r="I60" s="14" t="s">
        <v>206</v>
      </c>
      <c r="J60" s="15">
        <v>1977</v>
      </c>
      <c r="K60" s="13" t="s">
        <v>69</v>
      </c>
      <c r="L60" s="13" t="s">
        <v>26</v>
      </c>
      <c r="M60" s="13" t="s">
        <v>140</v>
      </c>
      <c r="N60" s="14" t="s">
        <v>405</v>
      </c>
    </row>
    <row r="61" spans="1:14" ht="26" x14ac:dyDescent="0.2">
      <c r="A61" s="10" t="s">
        <v>406</v>
      </c>
      <c r="B61" s="11" t="s">
        <v>395</v>
      </c>
      <c r="C61" s="11" t="s">
        <v>407</v>
      </c>
      <c r="D61" s="10" t="s">
        <v>134</v>
      </c>
      <c r="E61" s="10" t="s">
        <v>64</v>
      </c>
      <c r="F61" s="11" t="s">
        <v>408</v>
      </c>
      <c r="G61" s="11" t="s">
        <v>409</v>
      </c>
      <c r="H61" s="10" t="s">
        <v>410</v>
      </c>
      <c r="I61" s="11" t="s">
        <v>206</v>
      </c>
      <c r="J61" s="12">
        <v>1974</v>
      </c>
      <c r="K61" s="10" t="s">
        <v>69</v>
      </c>
      <c r="L61" s="10" t="s">
        <v>22</v>
      </c>
      <c r="M61" s="10" t="s">
        <v>70</v>
      </c>
      <c r="N61" s="11" t="s">
        <v>411</v>
      </c>
    </row>
    <row r="62" spans="1:14" x14ac:dyDescent="0.2">
      <c r="A62" s="13" t="s">
        <v>412</v>
      </c>
      <c r="B62" s="14" t="s">
        <v>395</v>
      </c>
      <c r="C62" s="14" t="s">
        <v>413</v>
      </c>
      <c r="D62" s="13" t="s">
        <v>134</v>
      </c>
      <c r="E62" s="13" t="s">
        <v>93</v>
      </c>
      <c r="F62" s="14" t="s">
        <v>414</v>
      </c>
      <c r="G62" s="14" t="s">
        <v>415</v>
      </c>
      <c r="H62" s="13" t="s">
        <v>416</v>
      </c>
      <c r="I62" s="14" t="s">
        <v>206</v>
      </c>
      <c r="J62" s="15">
        <v>1973</v>
      </c>
      <c r="K62" s="13" t="s">
        <v>69</v>
      </c>
      <c r="L62" s="13" t="s">
        <v>22</v>
      </c>
      <c r="M62" s="13" t="s">
        <v>140</v>
      </c>
      <c r="N62" s="14" t="s">
        <v>417</v>
      </c>
    </row>
    <row r="63" spans="1:14" ht="26" x14ac:dyDescent="0.2">
      <c r="A63" s="10" t="s">
        <v>418</v>
      </c>
      <c r="B63" s="11" t="s">
        <v>419</v>
      </c>
      <c r="C63" s="11" t="s">
        <v>420</v>
      </c>
      <c r="D63" s="10" t="s">
        <v>321</v>
      </c>
      <c r="E63" s="10" t="s">
        <v>211</v>
      </c>
      <c r="F63" s="11" t="s">
        <v>421</v>
      </c>
      <c r="G63" s="11" t="s">
        <v>422</v>
      </c>
      <c r="H63" s="10" t="s">
        <v>138</v>
      </c>
      <c r="I63" s="11" t="s">
        <v>423</v>
      </c>
      <c r="J63" s="12">
        <v>1996</v>
      </c>
      <c r="K63" s="10" t="s">
        <v>69</v>
      </c>
      <c r="L63" s="10" t="s">
        <v>22</v>
      </c>
      <c r="M63" s="10" t="s">
        <v>70</v>
      </c>
      <c r="N63" s="11" t="s">
        <v>424</v>
      </c>
    </row>
    <row r="64" spans="1:14" x14ac:dyDescent="0.2">
      <c r="A64" s="13" t="s">
        <v>425</v>
      </c>
      <c r="B64" s="14" t="s">
        <v>419</v>
      </c>
      <c r="C64" s="14" t="s">
        <v>426</v>
      </c>
      <c r="D64" s="13" t="s">
        <v>92</v>
      </c>
      <c r="E64" s="13" t="s">
        <v>211</v>
      </c>
      <c r="F64" s="14" t="s">
        <v>421</v>
      </c>
      <c r="G64" s="14" t="s">
        <v>427</v>
      </c>
      <c r="H64" s="13" t="s">
        <v>138</v>
      </c>
      <c r="I64" s="14" t="s">
        <v>423</v>
      </c>
      <c r="J64" s="15">
        <v>1996</v>
      </c>
      <c r="K64" s="13" t="s">
        <v>88</v>
      </c>
      <c r="L64" s="13" t="s">
        <v>24</v>
      </c>
      <c r="M64" s="13" t="s">
        <v>140</v>
      </c>
      <c r="N64" s="14" t="s">
        <v>428</v>
      </c>
    </row>
    <row r="65" spans="1:14" x14ac:dyDescent="0.2">
      <c r="A65" s="10" t="s">
        <v>429</v>
      </c>
      <c r="B65" s="11" t="s">
        <v>419</v>
      </c>
      <c r="C65" s="11" t="s">
        <v>430</v>
      </c>
      <c r="D65" s="10" t="s">
        <v>134</v>
      </c>
      <c r="E65" s="10" t="s">
        <v>211</v>
      </c>
      <c r="F65" s="11" t="s">
        <v>421</v>
      </c>
      <c r="G65" s="11" t="s">
        <v>431</v>
      </c>
      <c r="H65" s="10" t="s">
        <v>138</v>
      </c>
      <c r="I65" s="11" t="s">
        <v>423</v>
      </c>
      <c r="J65" s="12">
        <v>1996</v>
      </c>
      <c r="K65" s="10" t="s">
        <v>88</v>
      </c>
      <c r="L65" s="10" t="s">
        <v>22</v>
      </c>
      <c r="M65" s="10" t="s">
        <v>70</v>
      </c>
      <c r="N65" s="11" t="s">
        <v>432</v>
      </c>
    </row>
    <row r="66" spans="1:14" ht="26" x14ac:dyDescent="0.2">
      <c r="A66" s="13" t="s">
        <v>433</v>
      </c>
      <c r="B66" s="14" t="s">
        <v>434</v>
      </c>
      <c r="C66" s="14" t="s">
        <v>435</v>
      </c>
      <c r="D66" s="13" t="s">
        <v>148</v>
      </c>
      <c r="E66" s="13" t="s">
        <v>93</v>
      </c>
      <c r="F66" s="14" t="s">
        <v>436</v>
      </c>
      <c r="G66" s="14" t="s">
        <v>437</v>
      </c>
      <c r="H66" s="13" t="s">
        <v>438</v>
      </c>
      <c r="I66" s="14" t="s">
        <v>439</v>
      </c>
      <c r="J66" s="15">
        <v>2011</v>
      </c>
      <c r="K66" s="13" t="s">
        <v>247</v>
      </c>
      <c r="L66" s="13" t="s">
        <v>22</v>
      </c>
      <c r="M66" s="13" t="s">
        <v>70</v>
      </c>
      <c r="N66" s="14" t="s">
        <v>440</v>
      </c>
    </row>
    <row r="67" spans="1:14" ht="26" x14ac:dyDescent="0.2">
      <c r="A67" s="10" t="s">
        <v>441</v>
      </c>
      <c r="B67" s="11" t="s">
        <v>442</v>
      </c>
      <c r="C67" s="11" t="s">
        <v>443</v>
      </c>
      <c r="D67" s="10" t="s">
        <v>148</v>
      </c>
      <c r="E67" s="10" t="s">
        <v>111</v>
      </c>
      <c r="F67" s="11" t="s">
        <v>444</v>
      </c>
      <c r="G67" s="11" t="s">
        <v>445</v>
      </c>
      <c r="H67" s="10" t="s">
        <v>163</v>
      </c>
      <c r="I67" s="11" t="s">
        <v>446</v>
      </c>
      <c r="J67" s="12">
        <v>2021</v>
      </c>
      <c r="K67" s="10" t="s">
        <v>88</v>
      </c>
      <c r="L67" s="10" t="s">
        <v>22</v>
      </c>
      <c r="M67" s="10" t="s">
        <v>70</v>
      </c>
      <c r="N67" s="11" t="s">
        <v>447</v>
      </c>
    </row>
    <row r="68" spans="1:14" ht="26" x14ac:dyDescent="0.2">
      <c r="A68" s="13" t="s">
        <v>448</v>
      </c>
      <c r="B68" s="14" t="s">
        <v>442</v>
      </c>
      <c r="C68" s="14" t="s">
        <v>449</v>
      </c>
      <c r="D68" s="13" t="s">
        <v>321</v>
      </c>
      <c r="E68" s="13" t="s">
        <v>93</v>
      </c>
      <c r="F68" s="14" t="s">
        <v>450</v>
      </c>
      <c r="G68" s="14" t="s">
        <v>451</v>
      </c>
      <c r="H68" s="13" t="s">
        <v>452</v>
      </c>
      <c r="I68" s="14" t="s">
        <v>453</v>
      </c>
      <c r="J68" s="15">
        <v>2002</v>
      </c>
      <c r="K68" s="13" t="s">
        <v>69</v>
      </c>
      <c r="L68" s="16" t="s">
        <v>20</v>
      </c>
      <c r="M68" s="13" t="s">
        <v>99</v>
      </c>
      <c r="N68" s="14" t="s">
        <v>454</v>
      </c>
    </row>
    <row r="69" spans="1:14" ht="26" x14ac:dyDescent="0.2">
      <c r="A69" s="10" t="s">
        <v>455</v>
      </c>
      <c r="B69" s="11" t="s">
        <v>442</v>
      </c>
      <c r="C69" s="11" t="s">
        <v>456</v>
      </c>
      <c r="D69" s="10" t="s">
        <v>148</v>
      </c>
      <c r="E69" s="10" t="s">
        <v>64</v>
      </c>
      <c r="F69" s="11" t="s">
        <v>457</v>
      </c>
      <c r="G69" s="11" t="s">
        <v>458</v>
      </c>
      <c r="H69" s="10" t="s">
        <v>416</v>
      </c>
      <c r="I69" s="11" t="s">
        <v>206</v>
      </c>
      <c r="J69" s="12">
        <v>1864</v>
      </c>
      <c r="K69" s="10" t="s">
        <v>98</v>
      </c>
      <c r="L69" s="10" t="s">
        <v>70</v>
      </c>
      <c r="M69" s="10" t="s">
        <v>70</v>
      </c>
      <c r="N69" s="11" t="s">
        <v>459</v>
      </c>
    </row>
    <row r="70" spans="1:14" ht="26" x14ac:dyDescent="0.2">
      <c r="A70" s="13" t="s">
        <v>460</v>
      </c>
      <c r="B70" s="14" t="s">
        <v>442</v>
      </c>
      <c r="C70" s="14" t="s">
        <v>461</v>
      </c>
      <c r="D70" s="13" t="s">
        <v>103</v>
      </c>
      <c r="E70" s="13" t="s">
        <v>93</v>
      </c>
      <c r="F70" s="14" t="s">
        <v>462</v>
      </c>
      <c r="G70" s="14" t="s">
        <v>463</v>
      </c>
      <c r="H70" s="13" t="s">
        <v>464</v>
      </c>
      <c r="I70" s="14" t="s">
        <v>130</v>
      </c>
      <c r="J70" s="15">
        <v>1991</v>
      </c>
      <c r="K70" s="13" t="s">
        <v>69</v>
      </c>
      <c r="L70" s="16" t="s">
        <v>20</v>
      </c>
      <c r="M70" s="13" t="s">
        <v>99</v>
      </c>
      <c r="N70" s="14" t="s">
        <v>465</v>
      </c>
    </row>
  </sheetData>
  <autoFilter ref="A4:N7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3" width="42" customWidth="1"/>
    <col min="4" max="4" width="16" customWidth="1"/>
    <col min="5" max="5" width="46" customWidth="1"/>
    <col min="6" max="6" width="42" customWidth="1"/>
  </cols>
  <sheetData>
    <row r="1" spans="1:6" ht="20" x14ac:dyDescent="0.2">
      <c r="A1" s="2" t="s">
        <v>466</v>
      </c>
    </row>
    <row r="2" spans="1:6" x14ac:dyDescent="0.2">
      <c r="A2" s="3" t="s">
        <v>467</v>
      </c>
    </row>
    <row r="4" spans="1:6" x14ac:dyDescent="0.2">
      <c r="A4" s="9" t="s">
        <v>468</v>
      </c>
      <c r="B4" s="9" t="s">
        <v>469</v>
      </c>
      <c r="C4" s="9" t="s">
        <v>470</v>
      </c>
      <c r="D4" s="9" t="s">
        <v>471</v>
      </c>
      <c r="E4" s="9" t="s">
        <v>472</v>
      </c>
      <c r="F4" s="9" t="s">
        <v>473</v>
      </c>
    </row>
    <row r="5" spans="1:6" ht="39" x14ac:dyDescent="0.2">
      <c r="A5" s="10">
        <v>1</v>
      </c>
      <c r="B5" s="11" t="s">
        <v>474</v>
      </c>
      <c r="C5" s="11" t="s">
        <v>475</v>
      </c>
      <c r="D5" s="10" t="s">
        <v>476</v>
      </c>
      <c r="E5" s="11" t="s">
        <v>477</v>
      </c>
      <c r="F5" s="11" t="s">
        <v>478</v>
      </c>
    </row>
    <row r="6" spans="1:6" ht="39" x14ac:dyDescent="0.2">
      <c r="A6" s="13">
        <v>2</v>
      </c>
      <c r="B6" s="14" t="s">
        <v>479</v>
      </c>
      <c r="C6" s="14" t="s">
        <v>480</v>
      </c>
      <c r="D6" s="13" t="s">
        <v>481</v>
      </c>
      <c r="E6" s="14" t="s">
        <v>482</v>
      </c>
      <c r="F6" s="14" t="s">
        <v>483</v>
      </c>
    </row>
    <row r="7" spans="1:6" ht="26" x14ac:dyDescent="0.2">
      <c r="A7" s="10">
        <v>3</v>
      </c>
      <c r="B7" s="11" t="s">
        <v>484</v>
      </c>
      <c r="C7" s="11" t="s">
        <v>485</v>
      </c>
      <c r="D7" s="10" t="s">
        <v>476</v>
      </c>
      <c r="E7" s="11" t="s">
        <v>486</v>
      </c>
      <c r="F7" s="11" t="s">
        <v>487</v>
      </c>
    </row>
    <row r="8" spans="1:6" ht="39" x14ac:dyDescent="0.2">
      <c r="A8" s="13">
        <v>4</v>
      </c>
      <c r="B8" s="14" t="s">
        <v>488</v>
      </c>
      <c r="C8" s="14" t="s">
        <v>489</v>
      </c>
      <c r="D8" s="13" t="s">
        <v>490</v>
      </c>
      <c r="E8" s="14" t="s">
        <v>491</v>
      </c>
      <c r="F8" s="14" t="s">
        <v>492</v>
      </c>
    </row>
    <row r="9" spans="1:6" ht="39" x14ac:dyDescent="0.2">
      <c r="A9" s="10">
        <v>5</v>
      </c>
      <c r="B9" s="11" t="s">
        <v>493</v>
      </c>
      <c r="C9" s="11" t="s">
        <v>494</v>
      </c>
      <c r="D9" s="10" t="s">
        <v>495</v>
      </c>
      <c r="E9" s="11" t="s">
        <v>496</v>
      </c>
      <c r="F9" s="11" t="s">
        <v>497</v>
      </c>
    </row>
    <row r="10" spans="1:6" ht="39" x14ac:dyDescent="0.2">
      <c r="A10" s="13">
        <v>6</v>
      </c>
      <c r="B10" s="14" t="s">
        <v>498</v>
      </c>
      <c r="C10" s="14" t="s">
        <v>499</v>
      </c>
      <c r="D10" s="13" t="s">
        <v>476</v>
      </c>
      <c r="E10" s="14" t="s">
        <v>500</v>
      </c>
      <c r="F10" s="14" t="s">
        <v>501</v>
      </c>
    </row>
    <row r="11" spans="1:6" ht="26" x14ac:dyDescent="0.2">
      <c r="A11" s="10">
        <v>7</v>
      </c>
      <c r="B11" s="11" t="s">
        <v>502</v>
      </c>
      <c r="C11" s="11" t="s">
        <v>503</v>
      </c>
      <c r="D11" s="10" t="s">
        <v>476</v>
      </c>
      <c r="E11" s="11" t="s">
        <v>504</v>
      </c>
      <c r="F11" s="11" t="s">
        <v>505</v>
      </c>
    </row>
    <row r="12" spans="1:6" ht="26" x14ac:dyDescent="0.2">
      <c r="A12" s="13">
        <v>8</v>
      </c>
      <c r="B12" s="14" t="s">
        <v>506</v>
      </c>
      <c r="C12" s="14" t="s">
        <v>507</v>
      </c>
      <c r="D12" s="13" t="s">
        <v>476</v>
      </c>
      <c r="E12" s="14" t="s">
        <v>508</v>
      </c>
      <c r="F12" s="14" t="s">
        <v>509</v>
      </c>
    </row>
    <row r="13" spans="1:6" ht="26" x14ac:dyDescent="0.2">
      <c r="A13" s="10">
        <v>9</v>
      </c>
      <c r="B13" s="11" t="s">
        <v>510</v>
      </c>
      <c r="C13" s="11" t="s">
        <v>511</v>
      </c>
      <c r="D13" s="10" t="s">
        <v>512</v>
      </c>
      <c r="E13" s="11" t="s">
        <v>513</v>
      </c>
      <c r="F13" s="11" t="s">
        <v>514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2" width="22" customWidth="1"/>
  </cols>
  <sheetData>
    <row r="1" spans="1:6" ht="20" x14ac:dyDescent="0.2">
      <c r="A1" s="2" t="s">
        <v>515</v>
      </c>
    </row>
    <row r="2" spans="1:6" x14ac:dyDescent="0.2">
      <c r="A2" s="3" t="s">
        <v>516</v>
      </c>
    </row>
    <row r="4" spans="1:6" x14ac:dyDescent="0.2">
      <c r="A4" s="9" t="s">
        <v>517</v>
      </c>
      <c r="B4" s="9" t="s">
        <v>518</v>
      </c>
    </row>
    <row r="5" spans="1:6" x14ac:dyDescent="0.2">
      <c r="A5" s="11" t="s">
        <v>519</v>
      </c>
      <c r="B5" s="10">
        <f>COUNTIFS(Inventory!$J$5:$J$70,"&gt;="&amp;1800,Inventory!$J$5:$J$70,"&lt;="&amp;1932)</f>
        <v>7</v>
      </c>
    </row>
    <row r="6" spans="1:6" x14ac:dyDescent="0.2">
      <c r="A6" s="14" t="s">
        <v>520</v>
      </c>
      <c r="B6" s="13">
        <f>COUNTIFS(Inventory!$J$5:$J$70,"&gt;="&amp;1933,Inventory!$J$5:$J$70,"&lt;="&amp;1976)</f>
        <v>3</v>
      </c>
    </row>
    <row r="7" spans="1:6" x14ac:dyDescent="0.2">
      <c r="A7" s="11" t="s">
        <v>521</v>
      </c>
      <c r="B7" s="10">
        <f>COUNTIFS(Inventory!$J$5:$J$70,"&gt;="&amp;1977,Inventory!$J$5:$J$70,"&lt;="&amp;1990)</f>
        <v>7</v>
      </c>
    </row>
    <row r="8" spans="1:6" x14ac:dyDescent="0.2">
      <c r="A8" s="14" t="s">
        <v>522</v>
      </c>
      <c r="B8" s="13">
        <f>COUNTIFS(Inventory!$J$5:$J$70,"&gt;="&amp;1991,Inventory!$J$5:$J$70,"&lt;="&amp;2001)</f>
        <v>14</v>
      </c>
    </row>
    <row r="9" spans="1:6" x14ac:dyDescent="0.2">
      <c r="A9" s="11" t="s">
        <v>523</v>
      </c>
      <c r="B9" s="10">
        <f>COUNTIFS(Inventory!$J$5:$J$70,"&gt;="&amp;2002,Inventory!$J$5:$J$70,"&lt;="&amp;2009)</f>
        <v>6</v>
      </c>
    </row>
    <row r="10" spans="1:6" x14ac:dyDescent="0.2">
      <c r="A10" s="14" t="s">
        <v>524</v>
      </c>
      <c r="B10" s="13">
        <f>COUNTIFS(Inventory!$J$5:$J$70,"&gt;="&amp;2010,Inventory!$J$5:$J$70,"&lt;="&amp;2016)</f>
        <v>20</v>
      </c>
    </row>
    <row r="11" spans="1:6" x14ac:dyDescent="0.2">
      <c r="A11" s="11" t="s">
        <v>525</v>
      </c>
      <c r="B11" s="10">
        <f>COUNTIFS(Inventory!$J$5:$J$70,"&gt;="&amp;2017,Inventory!$J$5:$J$70,"&lt;="&amp;2026)</f>
        <v>9</v>
      </c>
    </row>
    <row r="12" spans="1:6" x14ac:dyDescent="0.2">
      <c r="A12" s="17" t="s">
        <v>526</v>
      </c>
      <c r="B12" s="17">
        <f>SUM(B5:B11)</f>
        <v>66</v>
      </c>
    </row>
    <row r="15" spans="1:6" x14ac:dyDescent="0.2">
      <c r="A15" s="18" t="s">
        <v>527</v>
      </c>
    </row>
    <row r="16" spans="1:6" ht="60" customHeight="1" x14ac:dyDescent="0.2">
      <c r="A16" s="1" t="s">
        <v>528</v>
      </c>
      <c r="B16" s="1"/>
      <c r="C16" s="1"/>
      <c r="D16" s="1"/>
      <c r="E16" s="1"/>
      <c r="F16" s="1"/>
    </row>
  </sheetData>
  <mergeCells count="1">
    <mergeCell ref="A16:F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Inventory</vt:lpstr>
      <vt:lpstr>Duplication Clusters</vt:lpstr>
      <vt:lpstr>Accumulation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Hsu</cp:lastModifiedBy>
  <cp:revision>1</cp:revision>
  <dcterms:created xsi:type="dcterms:W3CDTF">2026-06-01T19:50:54Z</dcterms:created>
  <dcterms:modified xsi:type="dcterms:W3CDTF">2026-06-01T19:53:31Z</dcterms:modified>
  <dc:language>en-US</dc:language>
</cp:coreProperties>
</file>