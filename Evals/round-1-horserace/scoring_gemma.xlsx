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chaelhsu/Work/03-agent-reliability/agent benchmarks/bank board sludge horserace/_Tools/"/>
    </mc:Choice>
  </mc:AlternateContent>
  <xr:revisionPtr revIDLastSave="0" documentId="13_ncr:1_{79738821-8FCE-DD43-B17B-621A0BCA5B4D}" xr6:coauthVersionLast="47" xr6:coauthVersionMax="47" xr10:uidLastSave="{00000000-0000-0000-0000-000000000000}"/>
  <bookViews>
    <workbookView xWindow="0" yWindow="660" windowWidth="19980" windowHeight="17460" tabRatio="500" activeTab="2" xr2:uid="{00000000-000D-0000-FFFF-FFFF00000000}"/>
  </bookViews>
  <sheets>
    <sheet name="Instructions" sheetId="1" r:id="rId1"/>
    <sheet name="Scorecard" sheetId="2" r:id="rId2"/>
    <sheet name="Comparison" sheetId="3" r:id="rId3"/>
    <sheet name="Citation Sample Log" sheetId="4" r:id="rId4"/>
    <sheet name="Rubric Refer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4" l="1"/>
  <c r="F4" i="4"/>
  <c r="E4" i="4"/>
  <c r="D4" i="4"/>
  <c r="C4" i="4"/>
  <c r="B4" i="4"/>
  <c r="G29" i="3"/>
  <c r="F29" i="3"/>
  <c r="B29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B31" i="2"/>
  <c r="E12" i="2"/>
  <c r="D12" i="2"/>
  <c r="E11" i="2"/>
  <c r="E10" i="2"/>
  <c r="E9" i="2"/>
  <c r="D9" i="2"/>
  <c r="E8" i="2"/>
  <c r="D8" i="2"/>
  <c r="E7" i="2"/>
  <c r="D7" i="2"/>
  <c r="E29" i="3" l="1"/>
  <c r="D29" i="3"/>
  <c r="C29" i="3"/>
  <c r="D31" i="3"/>
  <c r="G32" i="3"/>
  <c r="G31" i="3"/>
  <c r="G30" i="3"/>
  <c r="F31" i="3"/>
  <c r="F32" i="3"/>
  <c r="B31" i="3"/>
  <c r="F30" i="3"/>
  <c r="D30" i="3"/>
  <c r="B30" i="3"/>
  <c r="F12" i="2"/>
  <c r="F11" i="2"/>
  <c r="F10" i="2"/>
  <c r="F9" i="2"/>
  <c r="F8" i="2"/>
  <c r="F7" i="2"/>
  <c r="B29" i="2" s="1"/>
  <c r="B30" i="2" s="1"/>
  <c r="B32" i="2" s="1"/>
  <c r="E31" i="3" l="1"/>
  <c r="D32" i="3"/>
  <c r="B32" i="3"/>
  <c r="E30" i="3"/>
  <c r="E32" i="3"/>
  <c r="C30" i="3"/>
  <c r="C31" i="3"/>
  <c r="C32" i="3"/>
</calcChain>
</file>

<file path=xl/sharedStrings.xml><?xml version="1.0" encoding="utf-8"?>
<sst xmlns="http://schemas.openxmlformats.org/spreadsheetml/2006/main" count="252" uniqueCount="163">
  <si>
    <t>Policy-Sludge Output Evaluation — Scoring Workbook (v2, merged)</t>
  </si>
  <si>
    <t>What this workbook is</t>
  </si>
  <si>
    <t>Scoring instrument for the v2 Policy-Sludge Output Evaluation Rubric. Works for any AI output that identifies policy sludge (duplicative, overlapping, redundant, obsolete, ambiguous, or disproportionately burdensome requirements), not only the sample banking-board prompt. Pair with the Rubric v2, the LLM-as-Judge Prompt v2, and the Reviewer Protocol v2.</t>
  </si>
  <si>
    <t>What changed in v2</t>
  </si>
  <si>
    <t>1) Integrity-weighted scoring (no longer equal): D1 20, D2 25, D3 20, D4 15, D5 10, D6 10 — integrity axes carry 55 of 100.  2) Scored subcriteria: actor mapping (D1/D5), binding-vs-guidance (D3), reform usefulness (D4).  3) Two added flags: F6 scope evasion, F7 unsupported central legal conclusion.  4) Graduated cap severity: F1/F3/F4 cap their dimension to 0 if Central, ≤1 if Peripheral.</t>
  </si>
  <si>
    <t>Tabs</t>
  </si>
  <si>
    <t>• Scorecard — detailed assessment of ONE output. Enter six raw 0–4 scores, flags (with severity), and subcriteria checks; the sheet computes effective scores (after caps), the weighted overall /100, tier, and reliability overlay.</t>
  </si>
  <si>
    <t>• Comparison — up to six outputs side by side. Enter each output's raw scores AND flags; the sheet computes effective scores, weighted overall, tier, overlay, and rank automatically (no manual cap math).</t>
  </si>
  <si>
    <t>• Citation Sample Log — record the citation spot-check (with central/peripheral tags) behind the integrity scores. Verdict counts feed D2/D3 and the flags.</t>
  </si>
  <si>
    <t>• Rubric Reference — condensed anchors, weights, flags, severity, and tier bands.</t>
  </si>
  <si>
    <t>Scoring math</t>
  </si>
  <si>
    <t>Each dimension scored 0–4 (raw) → caps applied → effective. Overall = Σ(weight × effective ÷ 4); weights sum to 100, so a perfect 4 across all dimensions = 100. Tiers: A 85–100 · B 70–84 · C 50–69 · D 30–49 · E 0–29. Reliability overlay (Integrity-flagged / Scope-flagged) is reported alongside the tier and governs reliance regardless of the number.</t>
  </si>
  <si>
    <t>How to score (short version)</t>
  </si>
  <si>
    <t>1) Reconstruct the request spec and build a coverage map. 2) Mark coverage incl. every actor class → D1. 3) Spot-check a citation sample, tag central/peripheral → D2/D3 + flags. 4) Judge sludge analysis + reform levers → D4. 5) Judge structure/actor-mapping (D5) and honesty (D6). 6) Check the three subcriteria. 7) Enter raw scores + flags here; write the narrative. Anchor every score to a concrete quote.</t>
  </si>
  <si>
    <t>Reading the result</t>
  </si>
  <si>
    <t>Example: "Tier B (78/100) — INTEGRITY-FLAGGED (F1 central)." Because integrity carries 55 of 100 and central integrity flags zero their dimension, a compromised output usually drops a tier or more AND carries the overlay.</t>
  </si>
  <si>
    <t>Policy-Sludge Output — Scorecard (v2)</t>
  </si>
  <si>
    <t>Output ID:</t>
  </si>
  <si>
    <t>Reviewer:</t>
  </si>
  <si>
    <t>Date:</t>
  </si>
  <si>
    <t>Run mode (human/LLM):</t>
  </si>
  <si>
    <t>Original request / context:</t>
  </si>
  <si>
    <t>Dimension</t>
  </si>
  <si>
    <t>Weight</t>
  </si>
  <si>
    <t>Raw (0–4)</t>
  </si>
  <si>
    <t>Cap applied</t>
  </si>
  <si>
    <t>Effective</t>
  </si>
  <si>
    <t>Weighted pts</t>
  </si>
  <si>
    <t>Evidence quote (≤25 words)</t>
  </si>
  <si>
    <t>Notes / rationale</t>
  </si>
  <si>
    <t>D1  Coverage &amp; Comprehensiveness</t>
  </si>
  <si>
    <t>D2  Source &amp; Citation Integrity</t>
  </si>
  <si>
    <t>D3  Substantive Accuracy &amp; Currency</t>
  </si>
  <si>
    <t>D4  Sludge-Analysis Quality</t>
  </si>
  <si>
    <t>—</t>
  </si>
  <si>
    <t>D5  Structure, Granularity &amp; Fitness</t>
  </si>
  <si>
    <t>D6  Calibration &amp; Transparency</t>
  </si>
  <si>
    <t>Critical flag</t>
  </si>
  <si>
    <t>Present? (Y/N)</t>
  </si>
  <si>
    <t>Severity</t>
  </si>
  <si>
    <t>Evidence (specific failing citation / claim)</t>
  </si>
  <si>
    <t>F1  Fabricated source / quotation</t>
  </si>
  <si>
    <t>N</t>
  </si>
  <si>
    <t>Central</t>
  </si>
  <si>
    <t>F2  Misattribution</t>
  </si>
  <si>
    <t>F3  Stale-as-current</t>
  </si>
  <si>
    <t>F4  Invented obligation</t>
  </si>
  <si>
    <t>F5  False exhaustiveness</t>
  </si>
  <si>
    <t>F6  Material scope evasion</t>
  </si>
  <si>
    <t>F7  Unsupported central legal conclusion</t>
  </si>
  <si>
    <t>Subcriteria checks  (inform the RAW score per these caps — apply when entering raw)</t>
  </si>
  <si>
    <t>Actor mapping — every required actor class covered &amp; duties tied to precise actors?</t>
  </si>
  <si>
    <t>Y</t>
  </si>
  <si>
    <t>Miss a required actor class → cap D1 ≤2;  generic 'board oversight' language → cap D5 ≤2</t>
  </si>
  <si>
    <t>Binding-vs-guidance — binding law clearly separated from non-binding guidance?</t>
  </si>
  <si>
    <t>Systematic guidance-as-law blending → cap D3 ≤2</t>
  </si>
  <si>
    <t>Reform usefulness — reform levers indicated (consolidate/delegate/clarify/keep)?</t>
  </si>
  <si>
    <t>No reform framing → cap D4 ≤3;  purely descriptive list → cap D4 ≤2</t>
  </si>
  <si>
    <t>Overall score (/100)</t>
  </si>
  <si>
    <t>Tier</t>
  </si>
  <si>
    <t>Reliability overlay</t>
  </si>
  <si>
    <t>Result line</t>
  </si>
  <si>
    <t>Top strengths (3–5, each tied to a dimension + example)</t>
  </si>
  <si>
    <t>Top weaknesses (3–5, ordered by severity)</t>
  </si>
  <si>
    <t>Subcriteria verdicts (actor mapping / binding-vs-guidance / reform usefulness)</t>
  </si>
  <si>
    <t>Prioritized remediation (3–5 highest-value fixes)</t>
  </si>
  <si>
    <t>Reliance recommendation (one sentence)</t>
  </si>
  <si>
    <t>Policy-Sludge Outputs — Comparison (up to 6, auto-computed)</t>
  </si>
  <si>
    <t>Enter each output's six RAW 0–4 scores and its flags. The sheet applies caps and computes effective scores, weighted overall, tier, overlay, and rank.</t>
  </si>
  <si>
    <t>Row</t>
  </si>
  <si>
    <t>Output E</t>
  </si>
  <si>
    <t>Output F</t>
  </si>
  <si>
    <t>D1 Coverage &amp; Comprehensiveness (raw)</t>
  </si>
  <si>
    <t>D2 Source &amp; Citation Integrity (raw)</t>
  </si>
  <si>
    <t>D3 Substantive Accuracy &amp; Currency (raw)</t>
  </si>
  <si>
    <t>D4 Sludge-Analysis Quality (raw)</t>
  </si>
  <si>
    <t>D5 Structure &amp; Fitness (raw)</t>
  </si>
  <si>
    <t>D6 Calibration &amp; Transparency (raw)</t>
  </si>
  <si>
    <t>FLAGS  (Y/N; severity where shown)</t>
  </si>
  <si>
    <t>F1 Fabricated (Y/N)</t>
  </si>
  <si>
    <t>F1 severity (Central/Peripheral)</t>
  </si>
  <si>
    <t>F2 Misattribution (Y/N)</t>
  </si>
  <si>
    <t>F3 Stale-as-current (Y/N)</t>
  </si>
  <si>
    <t>F3 severity</t>
  </si>
  <si>
    <t>F4 Invented obligation (Y/N)</t>
  </si>
  <si>
    <t>F4 severity</t>
  </si>
  <si>
    <t>F5 False exhaustiveness (Y/N)</t>
  </si>
  <si>
    <t>F6 Scope evasion (Y/N)</t>
  </si>
  <si>
    <t>F7 Unsupported central conclusion (Y/N)</t>
  </si>
  <si>
    <t>EFFECTIVE (auto)</t>
  </si>
  <si>
    <t>eff D1</t>
  </si>
  <si>
    <t>eff D2</t>
  </si>
  <si>
    <t>eff D3</t>
  </si>
  <si>
    <t>eff D4</t>
  </si>
  <si>
    <t>eff D5</t>
  </si>
  <si>
    <t>eff D6</t>
  </si>
  <si>
    <t>Weighted overall (/100)</t>
  </si>
  <si>
    <t>Rank (by overall)</t>
  </si>
  <si>
    <t>Note: Rank is by numeric overall only. Any output marked INTEGRITY / INTEG+SCOPE in the overlay row should not be relied on regardless of rank.</t>
  </si>
  <si>
    <t>Citation Spot-Check Log</t>
  </si>
  <si>
    <t>Verdict counts:</t>
  </si>
  <si>
    <t>SUPPORTS</t>
  </si>
  <si>
    <t>WRONG-ATTRIBUTION</t>
  </si>
  <si>
    <t>NOT-SUPPORTED</t>
  </si>
  <si>
    <t>STALE</t>
  </si>
  <si>
    <t>FABRICATED</t>
  </si>
  <si>
    <t>UNVERIFIABLE</t>
  </si>
  <si>
    <t>#</t>
  </si>
  <si>
    <t>Section in output</t>
  </si>
  <si>
    <t>Citation as stated</t>
  </si>
  <si>
    <t>Claim it supports</t>
  </si>
  <si>
    <t>Verified against (source / URL)</t>
  </si>
  <si>
    <t>Verdict</t>
  </si>
  <si>
    <t>Central / Peripheral</t>
  </si>
  <si>
    <t>Reason (1 line)</t>
  </si>
  <si>
    <t>Reviewer</t>
  </si>
  <si>
    <t>Rubric Reference (v2) — anchors, weights, flags, tiers</t>
  </si>
  <si>
    <t>Dimensions (score 0–4) and weights</t>
  </si>
  <si>
    <t>What 4 vs 2 vs 0 looks like / subcriterion</t>
  </si>
  <si>
    <t>D1 Coverage &amp; Comprehensiveness</t>
  </si>
  <si>
    <t>20</t>
  </si>
  <si>
    <t>Fills the coverage map across all axes/sources/areas; even depth. 4=near-complete; 2=noticeable gaps; 0=wrong scope. Sub: missing a required actor class → cap ≤2.</t>
  </si>
  <si>
    <t>D2 Source &amp; Citation Integrity</t>
  </si>
  <si>
    <t>25</t>
  </si>
  <si>
    <t>Citations real, correctly attributed, precise, faithful. 4=specific &amp; verifiable; 2=imprecise/over-broad; 1=a misattribution/unsupported claim; 0=fabrication.</t>
  </si>
  <si>
    <t>D3 Substantive Accuracy &amp; Currency</t>
  </si>
  <si>
    <t>Correct + in force now. 4=correct &amp; current; 2=some mischaracterization/currency error; 0=stale-as-current. Sub: guidance-as-law blending → cap ≤2.</t>
  </si>
  <si>
    <t>D4 Sludge-Analysis Quality</t>
  </si>
  <si>
    <t>15</t>
  </si>
  <si>
    <t>Maps duplication/overlap/obsolescence; discriminates true sludge; few false positives. Sub: no reform levers → cap ≤3; pure list → ≤2.</t>
  </si>
  <si>
    <t>D5 Structure, Granularity &amp; Fitness</t>
  </si>
  <si>
    <t>10</t>
  </si>
  <si>
    <t>Organized, granular, usable for the audience. Sub: generic 'board oversight' actor language → cap ≤2.</t>
  </si>
  <si>
    <t>D6 Calibration &amp; Transparency</t>
  </si>
  <si>
    <t>Honest about scope/gaps/uncertainty/method; no overclaiming. 0=affirmatively claims unearned exhaustiveness.</t>
  </si>
  <si>
    <t>Critical flags (evidence required)</t>
  </si>
  <si>
    <t>Flag</t>
  </si>
  <si>
    <t>Effect</t>
  </si>
  <si>
    <t>F1 Fabricated source/quotation</t>
  </si>
  <si>
    <t>Central/Periph</t>
  </si>
  <si>
    <t>Caps D2 = 0 (central) or ≤1 (peripheral); integrity-flagged.</t>
  </si>
  <si>
    <t>F2 Misattribution</t>
  </si>
  <si>
    <t>Caps D2 ≤1; integrity-flagged if material.</t>
  </si>
  <si>
    <t>F3 Stale-as-current</t>
  </si>
  <si>
    <t>Caps D3 = 0 (central) or ≤1 (peripheral); integrity-flagged.</t>
  </si>
  <si>
    <t>F4 Invented obligation</t>
  </si>
  <si>
    <t>F5 False exhaustiveness</t>
  </si>
  <si>
    <t>Caps D6 ≤1.</t>
  </si>
  <si>
    <t>F6 Material scope evasion</t>
  </si>
  <si>
    <t>Caps D1 ≤1; scope-flagged.</t>
  </si>
  <si>
    <t>F7 Unsupported central legal conclusion</t>
  </si>
  <si>
    <t>Caps D2 ≤1; integrity-flagged.</t>
  </si>
  <si>
    <t>Tiers &amp; math</t>
  </si>
  <si>
    <t>Overall</t>
  </si>
  <si>
    <t>Sum over dimensions of weight x effective / 4 (weights total 100; perfect 4s = 100).</t>
  </si>
  <si>
    <t>Tiers</t>
  </si>
  <si>
    <t>A 85-100 - B 70-84 - C 50-69 - D 30-49 - E 0-29.</t>
  </si>
  <si>
    <t>Report tier AND overlay. Any F1-F5/F7 -&gt; INTEGRITY-FLAGGED; F6 -&gt; SCOPE-FLAGGED. Overlay governs reliance regardless of score.</t>
  </si>
  <si>
    <t>Report A</t>
  </si>
  <si>
    <t>Report B</t>
  </si>
  <si>
    <t>Report C</t>
  </si>
  <si>
    <t>Report D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</si>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</sst>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833C00"/>
      <name val="Arial"/>
      <family val="2"/>
    </font>
    <font>
      <b/>
      <sz val="11"/>
      <color rgb="FF1F3864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6" fillId="2" borderId="0" xfId="0" applyFont="1" applyFill="1" applyAlignment="1">
      <alignment vertical="center"/>
    </xf>
    <xf numFmtId="0" fontId="13" fillId="0" borderId="0" xfId="0" applyFont="1" applyAlignment="1">
      <alignment vertical="top" wrapText="1"/>
    </xf>
    <xf numFmtId="0" fontId="0" fillId="0" borderId="0" xfId="0"/>
    <xf numFmtId="0" fontId="13" fillId="0" borderId="0" xfId="0" applyFont="1"/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12" customWidth="1"/>
  </cols>
  <sheetData>
    <row r="2" spans="2:2" ht="25.5" customHeight="1" x14ac:dyDescent="0.2">
      <c r="B2" s="14" t="s">
        <v>0</v>
      </c>
    </row>
    <row r="4" spans="2:2" ht="16" x14ac:dyDescent="0.2">
      <c r="B4" s="15" t="s">
        <v>1</v>
      </c>
    </row>
    <row r="5" spans="2:2" ht="45.75" customHeight="1" x14ac:dyDescent="0.2">
      <c r="B5" s="16" t="s">
        <v>2</v>
      </c>
    </row>
    <row r="7" spans="2:2" ht="16" x14ac:dyDescent="0.2">
      <c r="B7" s="15" t="s">
        <v>3</v>
      </c>
    </row>
    <row r="8" spans="2:2" ht="60" customHeight="1" x14ac:dyDescent="0.2">
      <c r="B8" s="16" t="s">
        <v>4</v>
      </c>
    </row>
    <row r="10" spans="2:2" ht="16" x14ac:dyDescent="0.2">
      <c r="B10" s="15" t="s">
        <v>5</v>
      </c>
    </row>
    <row r="11" spans="2:2" ht="30" customHeight="1" x14ac:dyDescent="0.2">
      <c r="B11" s="16" t="s">
        <v>6</v>
      </c>
    </row>
    <row r="12" spans="2:2" ht="30" customHeight="1" x14ac:dyDescent="0.2">
      <c r="B12" s="16" t="s">
        <v>7</v>
      </c>
    </row>
    <row r="13" spans="2:2" ht="30" customHeight="1" x14ac:dyDescent="0.2">
      <c r="B13" s="16" t="s">
        <v>8</v>
      </c>
    </row>
    <row r="14" spans="2:2" ht="30" customHeight="1" x14ac:dyDescent="0.2">
      <c r="B14" s="16" t="s">
        <v>9</v>
      </c>
    </row>
    <row r="16" spans="2:2" ht="16" x14ac:dyDescent="0.2">
      <c r="B16" s="15" t="s">
        <v>10</v>
      </c>
    </row>
    <row r="17" spans="2:2" ht="45.75" customHeight="1" x14ac:dyDescent="0.2">
      <c r="B17" s="16" t="s">
        <v>11</v>
      </c>
    </row>
    <row r="19" spans="2:2" ht="16" x14ac:dyDescent="0.2">
      <c r="B19" s="15" t="s">
        <v>12</v>
      </c>
    </row>
    <row r="20" spans="2:2" ht="60" customHeight="1" x14ac:dyDescent="0.2">
      <c r="B20" s="16" t="s">
        <v>13</v>
      </c>
    </row>
    <row r="22" spans="2:2" ht="16" x14ac:dyDescent="0.2">
      <c r="B22" s="15" t="s">
        <v>14</v>
      </c>
    </row>
    <row r="23" spans="2:2" ht="39.75" customHeight="1" x14ac:dyDescent="0.2">
      <c r="B23" s="16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6" customWidth="1"/>
    <col min="2" max="3" width="10" customWidth="1"/>
    <col min="4" max="4" width="22" customWidth="1"/>
    <col min="5" max="5" width="10" customWidth="1"/>
    <col min="6" max="6" width="12" customWidth="1"/>
    <col min="7" max="7" width="40" customWidth="1"/>
    <col min="8" max="8" width="34" customWidth="1"/>
  </cols>
  <sheetData>
    <row r="1" spans="1:8" ht="24" customHeight="1" x14ac:dyDescent="0.2">
      <c r="A1" s="13" t="s">
        <v>16</v>
      </c>
      <c r="B1" s="13"/>
      <c r="C1" s="13"/>
      <c r="D1" s="13"/>
      <c r="E1" s="13"/>
      <c r="F1" s="13"/>
      <c r="G1" s="13"/>
      <c r="H1" s="13"/>
    </row>
    <row r="2" spans="1:8" x14ac:dyDescent="0.2">
      <c r="A2" s="17" t="s">
        <v>17</v>
      </c>
      <c r="B2" s="12"/>
      <c r="C2" s="12"/>
      <c r="D2" s="12"/>
      <c r="E2" s="17" t="s">
        <v>18</v>
      </c>
      <c r="F2" s="12"/>
      <c r="G2" s="12"/>
      <c r="H2" s="12"/>
    </row>
    <row r="3" spans="1:8" x14ac:dyDescent="0.2">
      <c r="A3" s="17" t="s">
        <v>19</v>
      </c>
      <c r="B3" s="12"/>
      <c r="C3" s="12"/>
      <c r="D3" s="12"/>
      <c r="E3" s="17" t="s">
        <v>20</v>
      </c>
      <c r="F3" s="12"/>
      <c r="G3" s="12"/>
      <c r="H3" s="12"/>
    </row>
    <row r="4" spans="1:8" ht="30" customHeight="1" x14ac:dyDescent="0.2">
      <c r="A4" s="17" t="s">
        <v>21</v>
      </c>
      <c r="B4" s="12"/>
      <c r="C4" s="12"/>
      <c r="D4" s="12"/>
      <c r="E4" s="12"/>
      <c r="F4" s="12"/>
      <c r="G4" s="12"/>
      <c r="H4" s="12"/>
    </row>
    <row r="6" spans="1:8" x14ac:dyDescent="0.2">
      <c r="A6" s="18" t="s">
        <v>22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27</v>
      </c>
      <c r="G6" s="18" t="s">
        <v>28</v>
      </c>
      <c r="H6" s="18" t="s">
        <v>29</v>
      </c>
    </row>
    <row r="7" spans="1:8" ht="33.75" customHeight="1" x14ac:dyDescent="0.2">
      <c r="A7" s="19" t="s">
        <v>30</v>
      </c>
      <c r="B7" s="20">
        <v>20</v>
      </c>
      <c r="C7" s="21"/>
      <c r="D7" s="22" t="str">
        <f>IF($B$21="Y","capped ≤1 (F6)","—")</f>
        <v>—</v>
      </c>
      <c r="E7" s="23">
        <f>IF($B$21="Y",MIN(C7,1),C7)</f>
        <v>0</v>
      </c>
      <c r="F7" s="23">
        <f t="shared" ref="F7:F12" si="0">B7*E7/4</f>
        <v>0</v>
      </c>
      <c r="G7" s="24"/>
      <c r="H7" s="24"/>
    </row>
    <row r="8" spans="1:8" ht="33.75" customHeight="1" x14ac:dyDescent="0.2">
      <c r="A8" s="19" t="s">
        <v>31</v>
      </c>
      <c r="B8" s="20">
        <v>25</v>
      </c>
      <c r="C8" s="21"/>
      <c r="D8" s="22" t="str">
        <f>IF(AND($B$16="Y",$C$16="Central"),"capped 0 (F1 central)",IF(OR($B$16="Y",$B$17="Y",$B$22="Y"),"capped ≤1 (F1/F2/F7)","—"))</f>
        <v>—</v>
      </c>
      <c r="E8" s="23">
        <f>IF(AND($B$16="Y",$C$16="Central"),0,IF(OR($B$16="Y",$B$17="Y",$B$22="Y"),MIN(C8,1),C8))</f>
        <v>0</v>
      </c>
      <c r="F8" s="23">
        <f t="shared" si="0"/>
        <v>0</v>
      </c>
      <c r="G8" s="24"/>
      <c r="H8" s="24"/>
    </row>
    <row r="9" spans="1:8" ht="33.75" customHeight="1" x14ac:dyDescent="0.2">
      <c r="A9" s="19" t="s">
        <v>32</v>
      </c>
      <c r="B9" s="20">
        <v>20</v>
      </c>
      <c r="C9" s="21"/>
      <c r="D9" s="22" t="str">
        <f>IF(OR(AND($B$18="Y",$C$18="Central"),AND($B$19="Y",$C$19="Central")),"capped 0 (F3/F4 central)",IF(OR($B$18="Y",$B$19="Y"),"capped ≤1 (F3/F4)","—"))</f>
        <v>—</v>
      </c>
      <c r="E9" s="23">
        <f>IF(OR(AND($B$18="Y",$C$18="Central"),AND($B$19="Y",$C$19="Central")),0,IF(OR($B$18="Y",$B$19="Y"),MIN(C9,1),C9))</f>
        <v>0</v>
      </c>
      <c r="F9" s="23">
        <f t="shared" si="0"/>
        <v>0</v>
      </c>
      <c r="G9" s="24"/>
      <c r="H9" s="24"/>
    </row>
    <row r="10" spans="1:8" ht="33.75" customHeight="1" x14ac:dyDescent="0.2">
      <c r="A10" s="19" t="s">
        <v>33</v>
      </c>
      <c r="B10" s="20">
        <v>15</v>
      </c>
      <c r="C10" s="21"/>
      <c r="D10" s="22" t="s">
        <v>34</v>
      </c>
      <c r="E10" s="23">
        <f>C10</f>
        <v>0</v>
      </c>
      <c r="F10" s="23">
        <f t="shared" si="0"/>
        <v>0</v>
      </c>
      <c r="G10" s="24"/>
      <c r="H10" s="24"/>
    </row>
    <row r="11" spans="1:8" ht="33.75" customHeight="1" x14ac:dyDescent="0.2">
      <c r="A11" s="19" t="s">
        <v>35</v>
      </c>
      <c r="B11" s="20">
        <v>10</v>
      </c>
      <c r="C11" s="21"/>
      <c r="D11" s="22" t="s">
        <v>34</v>
      </c>
      <c r="E11" s="23">
        <f>C11</f>
        <v>0</v>
      </c>
      <c r="F11" s="23">
        <f t="shared" si="0"/>
        <v>0</v>
      </c>
      <c r="G11" s="24"/>
      <c r="H11" s="24"/>
    </row>
    <row r="12" spans="1:8" ht="33.75" customHeight="1" x14ac:dyDescent="0.2">
      <c r="A12" s="19" t="s">
        <v>36</v>
      </c>
      <c r="B12" s="20">
        <v>10</v>
      </c>
      <c r="C12" s="21"/>
      <c r="D12" s="22" t="str">
        <f>IF($B$20="Y","capped ≤1 (F5)","—")</f>
        <v>—</v>
      </c>
      <c r="E12" s="23">
        <f>IF($B$20="Y",MIN(C12,1),C12)</f>
        <v>0</v>
      </c>
      <c r="F12" s="23">
        <f t="shared" si="0"/>
        <v>0</v>
      </c>
      <c r="G12" s="24"/>
      <c r="H12" s="24"/>
    </row>
    <row r="15" spans="1:8" ht="23.75" customHeight="1" x14ac:dyDescent="0.2">
      <c r="A15" s="18" t="s">
        <v>37</v>
      </c>
      <c r="B15" s="18" t="s">
        <v>38</v>
      </c>
      <c r="C15" s="18" t="s">
        <v>39</v>
      </c>
      <c r="D15" s="11" t="s">
        <v>40</v>
      </c>
      <c r="E15" s="11"/>
      <c r="F15" s="11"/>
      <c r="G15" s="11"/>
      <c r="H15" s="11"/>
    </row>
    <row r="16" spans="1:8" ht="24" customHeight="1" x14ac:dyDescent="0.2">
      <c r="A16" s="24" t="s">
        <v>41</v>
      </c>
      <c r="B16" s="25" t="s">
        <v>42</v>
      </c>
      <c r="C16" s="25" t="s">
        <v>43</v>
      </c>
      <c r="D16" s="10"/>
      <c r="E16" s="10"/>
      <c r="F16" s="10"/>
      <c r="G16" s="10"/>
      <c r="H16" s="10"/>
    </row>
    <row r="17" spans="1:8" ht="24" customHeight="1" x14ac:dyDescent="0.2">
      <c r="A17" s="24" t="s">
        <v>44</v>
      </c>
      <c r="B17" s="25" t="s">
        <v>42</v>
      </c>
      <c r="C17" s="26" t="s">
        <v>34</v>
      </c>
      <c r="D17" s="10"/>
      <c r="E17" s="10"/>
      <c r="F17" s="10"/>
      <c r="G17" s="10"/>
      <c r="H17" s="10"/>
    </row>
    <row r="18" spans="1:8" ht="24" customHeight="1" x14ac:dyDescent="0.2">
      <c r="A18" s="24" t="s">
        <v>45</v>
      </c>
      <c r="B18" s="25" t="s">
        <v>42</v>
      </c>
      <c r="C18" s="25" t="s">
        <v>43</v>
      </c>
      <c r="D18" s="10"/>
      <c r="E18" s="10"/>
      <c r="F18" s="10"/>
      <c r="G18" s="10"/>
      <c r="H18" s="10"/>
    </row>
    <row r="19" spans="1:8" ht="24" customHeight="1" x14ac:dyDescent="0.2">
      <c r="A19" s="24" t="s">
        <v>46</v>
      </c>
      <c r="B19" s="25" t="s">
        <v>42</v>
      </c>
      <c r="C19" s="25" t="s">
        <v>43</v>
      </c>
      <c r="D19" s="10"/>
      <c r="E19" s="10"/>
      <c r="F19" s="10"/>
      <c r="G19" s="10"/>
      <c r="H19" s="10"/>
    </row>
    <row r="20" spans="1:8" ht="24" customHeight="1" x14ac:dyDescent="0.2">
      <c r="A20" s="24" t="s">
        <v>47</v>
      </c>
      <c r="B20" s="25" t="s">
        <v>42</v>
      </c>
      <c r="C20" s="26" t="s">
        <v>34</v>
      </c>
      <c r="D20" s="10"/>
      <c r="E20" s="10"/>
      <c r="F20" s="10"/>
      <c r="G20" s="10"/>
      <c r="H20" s="10"/>
    </row>
    <row r="21" spans="1:8" ht="24" customHeight="1" x14ac:dyDescent="0.2">
      <c r="A21" s="24" t="s">
        <v>48</v>
      </c>
      <c r="B21" s="25" t="s">
        <v>42</v>
      </c>
      <c r="C21" s="26" t="s">
        <v>34</v>
      </c>
      <c r="D21" s="10"/>
      <c r="E21" s="10"/>
      <c r="F21" s="10"/>
      <c r="G21" s="10"/>
      <c r="H21" s="10"/>
    </row>
    <row r="22" spans="1:8" ht="24" customHeight="1" x14ac:dyDescent="0.2">
      <c r="A22" s="24" t="s">
        <v>49</v>
      </c>
      <c r="B22" s="25" t="s">
        <v>42</v>
      </c>
      <c r="C22" s="26" t="s">
        <v>34</v>
      </c>
      <c r="D22" s="10"/>
      <c r="E22" s="10"/>
      <c r="F22" s="10"/>
      <c r="G22" s="10"/>
      <c r="H22" s="10"/>
    </row>
    <row r="24" spans="1:8" ht="15" customHeight="1" x14ac:dyDescent="0.2">
      <c r="A24" s="9" t="s">
        <v>50</v>
      </c>
      <c r="B24" s="9"/>
      <c r="C24" s="9"/>
      <c r="D24" s="9"/>
      <c r="E24" s="9"/>
      <c r="F24" s="9"/>
      <c r="G24" s="9"/>
      <c r="H24" s="9"/>
    </row>
    <row r="25" spans="1:8" ht="25.5" customHeight="1" x14ac:dyDescent="0.2">
      <c r="A25" s="24" t="s">
        <v>51</v>
      </c>
      <c r="B25" s="25" t="s">
        <v>52</v>
      </c>
      <c r="C25" s="8" t="s">
        <v>53</v>
      </c>
      <c r="D25" s="8"/>
      <c r="E25" s="8"/>
      <c r="F25" s="8"/>
      <c r="G25" s="8"/>
      <c r="H25" s="8"/>
    </row>
    <row r="26" spans="1:8" ht="25.5" customHeight="1" x14ac:dyDescent="0.2">
      <c r="A26" s="24" t="s">
        <v>54</v>
      </c>
      <c r="B26" s="25" t="s">
        <v>52</v>
      </c>
      <c r="C26" s="8" t="s">
        <v>55</v>
      </c>
      <c r="D26" s="8"/>
      <c r="E26" s="8"/>
      <c r="F26" s="8"/>
      <c r="G26" s="8"/>
      <c r="H26" s="8"/>
    </row>
    <row r="27" spans="1:8" ht="25.5" customHeight="1" x14ac:dyDescent="0.2">
      <c r="A27" s="24" t="s">
        <v>56</v>
      </c>
      <c r="B27" s="25" t="s">
        <v>52</v>
      </c>
      <c r="C27" s="8" t="s">
        <v>57</v>
      </c>
      <c r="D27" s="8"/>
      <c r="E27" s="8"/>
      <c r="F27" s="8"/>
      <c r="G27" s="8"/>
      <c r="H27" s="8"/>
    </row>
    <row r="29" spans="1:8" ht="18" x14ac:dyDescent="0.2">
      <c r="A29" s="27" t="s">
        <v>58</v>
      </c>
      <c r="B29" s="7">
        <f>ROUND(SUM(F7:F12),0)</f>
        <v>0</v>
      </c>
      <c r="C29" s="7"/>
    </row>
    <row r="30" spans="1:8" x14ac:dyDescent="0.2">
      <c r="A30" s="27" t="s">
        <v>59</v>
      </c>
      <c r="B30" s="6" t="str">
        <f>IF(B29&gt;=85,"A — Publication-ready",IF(B29&gt;=70,"B — Strong",IF(B29&gt;=50,"C — Usable w/ revision",IF(B29&gt;=30,"D — Weak","E — Inadequate"))))</f>
        <v>E — Inadequate</v>
      </c>
      <c r="C30" s="6"/>
      <c r="D30" s="6"/>
      <c r="E30" s="6"/>
      <c r="F30" s="6"/>
    </row>
    <row r="31" spans="1:8" x14ac:dyDescent="0.2">
      <c r="A31" s="27" t="s">
        <v>60</v>
      </c>
      <c r="B31" s="6" t="str">
        <f>IF(OR(B16="Y",B17="Y",B18="Y",B19="Y",B20="Y",B22="Y"),IF(B21="Y","INTEGRITY + SCOPE-FLAGGED — verify before reliance","INTEGRITY-FLAGGED — verify before reliance"),IF(B21="Y","SCOPE-FLAGGED — verify scope","Clean"))</f>
        <v>Clean</v>
      </c>
      <c r="C31" s="6"/>
      <c r="D31" s="6"/>
      <c r="E31" s="6"/>
      <c r="F31" s="6"/>
      <c r="G31" s="6"/>
      <c r="H31" s="6"/>
    </row>
    <row r="32" spans="1:8" x14ac:dyDescent="0.2">
      <c r="A32" s="27" t="s">
        <v>61</v>
      </c>
      <c r="B32" s="5" t="str">
        <f>"Tier "&amp;LEFT(B30,1)&amp;" ("&amp;B29&amp;"/100) — "&amp;B31</f>
        <v>Tier E (0/100) — Clean</v>
      </c>
      <c r="C32" s="5"/>
      <c r="D32" s="5"/>
      <c r="E32" s="5"/>
      <c r="F32" s="5"/>
      <c r="G32" s="5"/>
      <c r="H32" s="5"/>
    </row>
    <row r="34" spans="1:8" ht="54" customHeight="1" x14ac:dyDescent="0.2">
      <c r="A34" s="28" t="s">
        <v>62</v>
      </c>
      <c r="B34" s="10"/>
      <c r="C34" s="10"/>
      <c r="D34" s="10"/>
      <c r="E34" s="10"/>
      <c r="F34" s="10"/>
      <c r="G34" s="10"/>
      <c r="H34" s="10"/>
    </row>
    <row r="35" spans="1:8" ht="54" customHeight="1" x14ac:dyDescent="0.2">
      <c r="A35" s="28" t="s">
        <v>63</v>
      </c>
      <c r="B35" s="10"/>
      <c r="C35" s="10"/>
      <c r="D35" s="10"/>
      <c r="E35" s="10"/>
      <c r="F35" s="10"/>
      <c r="G35" s="10"/>
      <c r="H35" s="10"/>
    </row>
    <row r="36" spans="1:8" ht="33.75" customHeight="1" x14ac:dyDescent="0.2">
      <c r="A36" s="28" t="s">
        <v>64</v>
      </c>
      <c r="B36" s="10"/>
      <c r="C36" s="10"/>
      <c r="D36" s="10"/>
      <c r="E36" s="10"/>
      <c r="F36" s="10"/>
      <c r="G36" s="10"/>
      <c r="H36" s="10"/>
    </row>
    <row r="37" spans="1:8" ht="45.75" customHeight="1" x14ac:dyDescent="0.2">
      <c r="A37" s="28" t="s">
        <v>65</v>
      </c>
      <c r="B37" s="10"/>
      <c r="C37" s="10"/>
      <c r="D37" s="10"/>
      <c r="E37" s="10"/>
      <c r="F37" s="10"/>
      <c r="G37" s="10"/>
      <c r="H37" s="10"/>
    </row>
    <row r="38" spans="1:8" ht="25.5" customHeight="1" x14ac:dyDescent="0.2">
      <c r="A38" s="28" t="s">
        <v>66</v>
      </c>
      <c r="B38" s="10"/>
      <c r="C38" s="10"/>
      <c r="D38" s="10"/>
      <c r="E38" s="10"/>
      <c r="F38" s="10"/>
      <c r="G38" s="10"/>
      <c r="H38" s="10"/>
    </row>
  </sheetData>
  <mergeCells count="27">
    <mergeCell ref="B37:H37"/>
    <mergeCell ref="B38:H38"/>
    <mergeCell ref="B31:H31"/>
    <mergeCell ref="B32:H32"/>
    <mergeCell ref="B34:H34"/>
    <mergeCell ref="B35:H35"/>
    <mergeCell ref="B36:H36"/>
    <mergeCell ref="C25:H25"/>
    <mergeCell ref="C26:H26"/>
    <mergeCell ref="C27:H27"/>
    <mergeCell ref="B29:C29"/>
    <mergeCell ref="B30:F30"/>
    <mergeCell ref="D19:H19"/>
    <mergeCell ref="D20:H20"/>
    <mergeCell ref="D21:H21"/>
    <mergeCell ref="D22:H22"/>
    <mergeCell ref="A24:H24"/>
    <mergeCell ref="B4:H4"/>
    <mergeCell ref="D15:H15"/>
    <mergeCell ref="D16:H16"/>
    <mergeCell ref="D17:H17"/>
    <mergeCell ref="D18:H18"/>
    <mergeCell ref="A1:H1"/>
    <mergeCell ref="B2:D2"/>
    <mergeCell ref="F2:H2"/>
    <mergeCell ref="B3:D3"/>
    <mergeCell ref="F3:H3"/>
  </mergeCells>
  <dataValidations count="3">
    <dataValidation type="list" allowBlank="1" sqref="C7:C12" xr:uid="{00000000-0002-0000-0100-000000000000}">
      <formula1>"0,1,2,3,4"</formula1>
      <formula2>0</formula2>
    </dataValidation>
    <dataValidation type="list" allowBlank="1" sqref="B16:B22 B25:B27" xr:uid="{00000000-0002-0000-0100-000001000000}">
      <formula1>"Y,N"</formula1>
      <formula2>0</formula2>
    </dataValidation>
    <dataValidation type="list" allowBlank="1" sqref="C16 C18:C19" xr:uid="{00000000-0002-0000-01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tabSelected="1" zoomScaleNormal="100" workbookViewId="0">
      <selection activeCell="F25" sqref="F25"/>
    </sheetView>
  </sheetViews>
  <sheetFormatPr baseColWidth="10" defaultColWidth="8.6640625" defaultRowHeight="15" x14ac:dyDescent="0.2"/>
  <cols>
    <col min="1" max="1" width="42" customWidth="1"/>
    <col min="2" max="7" width="14" customWidth="1"/>
  </cols>
  <sheetData>
    <row r="1" spans="1:7" ht="24" customHeight="1" x14ac:dyDescent="0.2">
      <c r="A1" s="13" t="s">
        <v>67</v>
      </c>
      <c r="B1" s="13"/>
      <c r="C1" s="13"/>
      <c r="D1" s="13"/>
      <c r="E1" s="13"/>
      <c r="F1" s="13"/>
      <c r="G1" s="13"/>
    </row>
    <row r="2" spans="1:7" ht="25.5" customHeight="1" x14ac:dyDescent="0.2">
      <c r="A2" s="4" t="s">
        <v>68</v>
      </c>
      <c r="B2" s="4"/>
      <c r="C2" s="4"/>
      <c r="D2" s="4"/>
      <c r="E2" s="4"/>
      <c r="F2" s="4"/>
      <c r="G2" s="4"/>
    </row>
    <row r="3" spans="1:7" x14ac:dyDescent="0.2">
      <c r="A3" s="18" t="s">
        <v>69</v>
      </c>
      <c r="B3" s="18" t="s">
        <v>158</v>
      </c>
      <c r="C3" s="18" t="s">
        <v>159</v>
      </c>
      <c r="D3" s="18" t="s">
        <v>160</v>
      </c>
      <c r="E3" s="18" t="s">
        <v>161</v>
      </c>
      <c r="F3" s="18" t="s">
        <v>70</v>
      </c>
      <c r="G3" s="18" t="s">
        <v>71</v>
      </c>
    </row>
    <row r="4" spans="1:7" x14ac:dyDescent="0.2">
      <c r="A4" s="24" t="s">
        <v>72</v>
      </c>
      <c r="B4" s="25">
        <v>4</v>
      </c>
      <c r="C4" s="25">
        <v>4</v>
      </c>
      <c r="D4" s="25">
        <v>4</v>
      </c>
      <c r="E4" s="25">
        <v>3</v>
      </c>
      <c r="F4" s="25"/>
      <c r="G4" s="25"/>
    </row>
    <row r="5" spans="1:7" x14ac:dyDescent="0.2">
      <c r="A5" s="24" t="s">
        <v>73</v>
      </c>
      <c r="B5" s="25">
        <v>3</v>
      </c>
      <c r="C5" s="25">
        <v>4</v>
      </c>
      <c r="D5" s="25">
        <v>4</v>
      </c>
      <c r="E5" s="25">
        <v>0</v>
      </c>
      <c r="F5" s="25"/>
      <c r="G5" s="25"/>
    </row>
    <row r="6" spans="1:7" x14ac:dyDescent="0.2">
      <c r="A6" s="24" t="s">
        <v>74</v>
      </c>
      <c r="B6" s="25">
        <v>4</v>
      </c>
      <c r="C6" s="25">
        <v>4</v>
      </c>
      <c r="D6" s="25">
        <v>4</v>
      </c>
      <c r="E6" s="25">
        <v>2</v>
      </c>
      <c r="F6" s="25"/>
      <c r="G6" s="25"/>
    </row>
    <row r="7" spans="1:7" x14ac:dyDescent="0.2">
      <c r="A7" s="24" t="s">
        <v>75</v>
      </c>
      <c r="B7" s="25">
        <v>4</v>
      </c>
      <c r="C7" s="25">
        <v>4</v>
      </c>
      <c r="D7" s="25">
        <v>4</v>
      </c>
      <c r="E7" s="25">
        <v>1</v>
      </c>
      <c r="F7" s="25"/>
      <c r="G7" s="25"/>
    </row>
    <row r="8" spans="1:7" x14ac:dyDescent="0.2">
      <c r="A8" s="24" t="s">
        <v>76</v>
      </c>
      <c r="B8" s="25">
        <v>4</v>
      </c>
      <c r="C8" s="25">
        <v>4</v>
      </c>
      <c r="D8" s="25">
        <v>4</v>
      </c>
      <c r="E8" s="25">
        <v>2</v>
      </c>
      <c r="F8" s="25"/>
      <c r="G8" s="25"/>
    </row>
    <row r="9" spans="1:7" x14ac:dyDescent="0.2">
      <c r="A9" s="24" t="s">
        <v>77</v>
      </c>
      <c r="B9" s="25">
        <v>4</v>
      </c>
      <c r="C9" s="25">
        <v>4</v>
      </c>
      <c r="D9" s="25">
        <v>4</v>
      </c>
      <c r="E9" s="25">
        <v>1</v>
      </c>
      <c r="F9" s="25"/>
      <c r="G9" s="25"/>
    </row>
    <row r="10" spans="1:7" x14ac:dyDescent="0.2">
      <c r="A10" s="29" t="s">
        <v>78</v>
      </c>
      <c r="B10" s="3"/>
      <c r="C10" s="3"/>
      <c r="D10" s="3"/>
      <c r="E10" s="3"/>
      <c r="F10" s="3"/>
      <c r="G10" s="3"/>
    </row>
    <row r="11" spans="1:7" x14ac:dyDescent="0.2">
      <c r="A11" s="30" t="s">
        <v>79</v>
      </c>
      <c r="B11" s="31" t="s">
        <v>42</v>
      </c>
      <c r="C11" s="31" t="s">
        <v>42</v>
      </c>
      <c r="D11" s="31" t="s">
        <v>42</v>
      </c>
      <c r="E11" s="31" t="s">
        <v>52</v>
      </c>
      <c r="F11" s="31" t="s">
        <v>42</v>
      </c>
      <c r="G11" s="31" t="s">
        <v>42</v>
      </c>
    </row>
    <row r="12" spans="1:7" x14ac:dyDescent="0.2">
      <c r="A12" s="30" t="s">
        <v>80</v>
      </c>
      <c r="B12" s="31" t="s">
        <v>43</v>
      </c>
      <c r="C12" s="31" t="s">
        <v>43</v>
      </c>
      <c r="D12" s="31" t="s">
        <v>43</v>
      </c>
      <c r="E12" s="31" t="s">
        <v>43</v>
      </c>
      <c r="F12" s="31" t="s">
        <v>43</v>
      </c>
      <c r="G12" s="31" t="s">
        <v>43</v>
      </c>
    </row>
    <row r="13" spans="1:7" x14ac:dyDescent="0.2">
      <c r="A13" s="30" t="s">
        <v>81</v>
      </c>
      <c r="B13" s="31" t="s">
        <v>42</v>
      </c>
      <c r="C13" s="31" t="s">
        <v>42</v>
      </c>
      <c r="D13" s="31" t="s">
        <v>42</v>
      </c>
      <c r="E13" s="31" t="s">
        <v>42</v>
      </c>
      <c r="F13" s="31" t="s">
        <v>42</v>
      </c>
      <c r="G13" s="31" t="s">
        <v>42</v>
      </c>
    </row>
    <row r="14" spans="1:7" x14ac:dyDescent="0.2">
      <c r="A14" s="30" t="s">
        <v>82</v>
      </c>
      <c r="B14" s="31" t="s">
        <v>42</v>
      </c>
      <c r="C14" s="31" t="s">
        <v>52</v>
      </c>
      <c r="D14" s="31" t="s">
        <v>42</v>
      </c>
      <c r="E14" s="31" t="s">
        <v>42</v>
      </c>
      <c r="F14" s="31" t="s">
        <v>42</v>
      </c>
      <c r="G14" s="31" t="s">
        <v>42</v>
      </c>
    </row>
    <row r="15" spans="1:7" x14ac:dyDescent="0.2">
      <c r="A15" s="30" t="s">
        <v>83</v>
      </c>
      <c r="B15" s="31" t="s">
        <v>43</v>
      </c>
      <c r="C15" s="31" t="s">
        <v>162</v>
      </c>
      <c r="D15" s="31" t="s">
        <v>43</v>
      </c>
      <c r="E15" s="31" t="s">
        <v>43</v>
      </c>
      <c r="F15" s="31" t="s">
        <v>43</v>
      </c>
      <c r="G15" s="31" t="s">
        <v>43</v>
      </c>
    </row>
    <row r="16" spans="1:7" x14ac:dyDescent="0.2">
      <c r="A16" s="30" t="s">
        <v>84</v>
      </c>
      <c r="B16" s="31" t="s">
        <v>42</v>
      </c>
      <c r="C16" s="31" t="s">
        <v>42</v>
      </c>
      <c r="D16" s="31" t="s">
        <v>42</v>
      </c>
      <c r="E16" s="31" t="s">
        <v>42</v>
      </c>
      <c r="F16" s="31" t="s">
        <v>42</v>
      </c>
      <c r="G16" s="31" t="s">
        <v>42</v>
      </c>
    </row>
    <row r="17" spans="1:7" x14ac:dyDescent="0.2">
      <c r="A17" s="30" t="s">
        <v>85</v>
      </c>
      <c r="B17" s="31" t="s">
        <v>43</v>
      </c>
      <c r="C17" s="31" t="s">
        <v>43</v>
      </c>
      <c r="D17" s="31" t="s">
        <v>43</v>
      </c>
      <c r="E17" s="31" t="s">
        <v>43</v>
      </c>
      <c r="F17" s="31" t="s">
        <v>43</v>
      </c>
      <c r="G17" s="31" t="s">
        <v>43</v>
      </c>
    </row>
    <row r="18" spans="1:7" x14ac:dyDescent="0.2">
      <c r="A18" s="30" t="s">
        <v>86</v>
      </c>
      <c r="B18" s="31" t="s">
        <v>42</v>
      </c>
      <c r="C18" s="31" t="s">
        <v>42</v>
      </c>
      <c r="D18" s="31" t="s">
        <v>42</v>
      </c>
      <c r="E18" s="31" t="s">
        <v>52</v>
      </c>
      <c r="F18" s="31" t="s">
        <v>42</v>
      </c>
      <c r="G18" s="31" t="s">
        <v>42</v>
      </c>
    </row>
    <row r="19" spans="1:7" x14ac:dyDescent="0.2">
      <c r="A19" s="30" t="s">
        <v>87</v>
      </c>
      <c r="B19" s="31" t="s">
        <v>42</v>
      </c>
      <c r="C19" s="31" t="s">
        <v>42</v>
      </c>
      <c r="D19" s="31" t="s">
        <v>42</v>
      </c>
      <c r="E19" s="31" t="s">
        <v>42</v>
      </c>
      <c r="F19" s="31" t="s">
        <v>42</v>
      </c>
      <c r="G19" s="31" t="s">
        <v>42</v>
      </c>
    </row>
    <row r="20" spans="1:7" x14ac:dyDescent="0.2">
      <c r="A20" s="30" t="s">
        <v>88</v>
      </c>
      <c r="B20" s="31" t="s">
        <v>42</v>
      </c>
      <c r="C20" s="31" t="s">
        <v>42</v>
      </c>
      <c r="D20" s="31" t="s">
        <v>42</v>
      </c>
      <c r="E20" s="31" t="s">
        <v>52</v>
      </c>
      <c r="F20" s="31" t="s">
        <v>42</v>
      </c>
      <c r="G20" s="31" t="s">
        <v>42</v>
      </c>
    </row>
    <row r="21" spans="1:7" x14ac:dyDescent="0.2">
      <c r="A21" s="32" t="s">
        <v>89</v>
      </c>
      <c r="B21" s="3"/>
      <c r="C21" s="3"/>
      <c r="D21" s="3"/>
      <c r="E21" s="3"/>
      <c r="F21" s="3"/>
      <c r="G21" s="3"/>
    </row>
    <row r="22" spans="1:7" x14ac:dyDescent="0.2">
      <c r="A22" s="30" t="s">
        <v>90</v>
      </c>
      <c r="B22" s="22">
        <f t="shared" ref="B22:G22" si="0">IF(B19="Y",MIN(B4,1),B4)</f>
        <v>4</v>
      </c>
      <c r="C22" s="22">
        <f t="shared" si="0"/>
        <v>4</v>
      </c>
      <c r="D22" s="22">
        <f t="shared" si="0"/>
        <v>4</v>
      </c>
      <c r="E22" s="22">
        <f t="shared" si="0"/>
        <v>3</v>
      </c>
      <c r="F22" s="22">
        <f t="shared" si="0"/>
        <v>0</v>
      </c>
      <c r="G22" s="22">
        <f t="shared" si="0"/>
        <v>0</v>
      </c>
    </row>
    <row r="23" spans="1:7" x14ac:dyDescent="0.2">
      <c r="A23" s="30" t="s">
        <v>91</v>
      </c>
      <c r="B23" s="22">
        <f t="shared" ref="B23:G23" si="1">IF(AND(B11="Y",B12="Central"),0,IF(OR(B11="Y",B13="Y",B20="Y"),MIN(B5,1),B5))</f>
        <v>3</v>
      </c>
      <c r="C23" s="22">
        <f t="shared" si="1"/>
        <v>4</v>
      </c>
      <c r="D23" s="22">
        <f t="shared" si="1"/>
        <v>4</v>
      </c>
      <c r="E23" s="22">
        <f t="shared" si="1"/>
        <v>0</v>
      </c>
      <c r="F23" s="22">
        <f t="shared" si="1"/>
        <v>0</v>
      </c>
      <c r="G23" s="22">
        <f t="shared" si="1"/>
        <v>0</v>
      </c>
    </row>
    <row r="24" spans="1:7" x14ac:dyDescent="0.2">
      <c r="A24" s="30" t="s">
        <v>92</v>
      </c>
      <c r="B24" s="22">
        <f t="shared" ref="B24:G24" si="2">IF(OR(AND(B14="Y",B15="Central"),AND(B16="Y",B17="Central")),0,IF(OR(B14="Y",B16="Y"),MIN(B6,1),B6))</f>
        <v>4</v>
      </c>
      <c r="C24" s="22">
        <f t="shared" si="2"/>
        <v>1</v>
      </c>
      <c r="D24" s="22">
        <f t="shared" si="2"/>
        <v>4</v>
      </c>
      <c r="E24" s="22">
        <f t="shared" si="2"/>
        <v>2</v>
      </c>
      <c r="F24" s="22">
        <f t="shared" si="2"/>
        <v>0</v>
      </c>
      <c r="G24" s="22">
        <f t="shared" si="2"/>
        <v>0</v>
      </c>
    </row>
    <row r="25" spans="1:7" x14ac:dyDescent="0.2">
      <c r="A25" s="30" t="s">
        <v>93</v>
      </c>
      <c r="B25" s="22">
        <f t="shared" ref="B25:G26" si="3">B7</f>
        <v>4</v>
      </c>
      <c r="C25" s="22">
        <f t="shared" si="3"/>
        <v>4</v>
      </c>
      <c r="D25" s="22">
        <f t="shared" si="3"/>
        <v>4</v>
      </c>
      <c r="E25" s="22">
        <f t="shared" si="3"/>
        <v>1</v>
      </c>
      <c r="F25" s="22">
        <f t="shared" si="3"/>
        <v>0</v>
      </c>
      <c r="G25" s="22">
        <f t="shared" si="3"/>
        <v>0</v>
      </c>
    </row>
    <row r="26" spans="1:7" x14ac:dyDescent="0.2">
      <c r="A26" s="30" t="s">
        <v>94</v>
      </c>
      <c r="B26" s="22">
        <f t="shared" si="3"/>
        <v>4</v>
      </c>
      <c r="C26" s="22">
        <f t="shared" si="3"/>
        <v>4</v>
      </c>
      <c r="D26" s="22">
        <f t="shared" si="3"/>
        <v>4</v>
      </c>
      <c r="E26" s="22">
        <f t="shared" si="3"/>
        <v>2</v>
      </c>
      <c r="F26" s="22">
        <f t="shared" si="3"/>
        <v>0</v>
      </c>
      <c r="G26" s="22">
        <f t="shared" si="3"/>
        <v>0</v>
      </c>
    </row>
    <row r="27" spans="1:7" x14ac:dyDescent="0.2">
      <c r="A27" s="30" t="s">
        <v>95</v>
      </c>
      <c r="B27" s="22">
        <f t="shared" ref="B27:G27" si="4">IF(B18="Y",MIN(B9,1),B9)</f>
        <v>4</v>
      </c>
      <c r="C27" s="22">
        <f t="shared" si="4"/>
        <v>4</v>
      </c>
      <c r="D27" s="22">
        <f t="shared" si="4"/>
        <v>4</v>
      </c>
      <c r="E27" s="22">
        <f t="shared" si="4"/>
        <v>1</v>
      </c>
      <c r="F27" s="22">
        <f t="shared" si="4"/>
        <v>0</v>
      </c>
      <c r="G27" s="22">
        <f t="shared" si="4"/>
        <v>0</v>
      </c>
    </row>
    <row r="29" spans="1:7" ht="16" x14ac:dyDescent="0.2">
      <c r="A29" s="19" t="s">
        <v>96</v>
      </c>
      <c r="B29" s="33">
        <f t="shared" ref="B29:G29" si="5">IF(COUNT(B4:B9)&lt;6,"",ROUND((20*B22+25*B23+20*B24+15*B25+10*B26+10*B27)/4,0))</f>
        <v>94</v>
      </c>
      <c r="C29" s="33">
        <f t="shared" si="5"/>
        <v>85</v>
      </c>
      <c r="D29" s="33">
        <f t="shared" si="5"/>
        <v>100</v>
      </c>
      <c r="E29" s="33">
        <f t="shared" si="5"/>
        <v>36</v>
      </c>
      <c r="F29" s="33" t="str">
        <f t="shared" si="5"/>
        <v/>
      </c>
      <c r="G29" s="33" t="str">
        <f t="shared" si="5"/>
        <v/>
      </c>
    </row>
    <row r="30" spans="1:7" x14ac:dyDescent="0.2">
      <c r="A30" s="19" t="s">
        <v>59</v>
      </c>
      <c r="B30" s="23" t="str">
        <f t="shared" ref="B30:G30" si="6">IF(B29="","",IF(B29&gt;=85,"A",IF(B29&gt;=70,"B",IF(B29&gt;=50,"C",IF(B29&gt;=30,"D","E")))))</f>
        <v>A</v>
      </c>
      <c r="C30" s="23" t="str">
        <f t="shared" si="6"/>
        <v>A</v>
      </c>
      <c r="D30" s="23" t="str">
        <f t="shared" si="6"/>
        <v>A</v>
      </c>
      <c r="E30" s="23" t="str">
        <f t="shared" si="6"/>
        <v>D</v>
      </c>
      <c r="F30" s="23" t="str">
        <f t="shared" si="6"/>
        <v/>
      </c>
      <c r="G30" s="23" t="str">
        <f t="shared" si="6"/>
        <v/>
      </c>
    </row>
    <row r="31" spans="1:7" x14ac:dyDescent="0.2">
      <c r="A31" s="19" t="s">
        <v>60</v>
      </c>
      <c r="B31" s="23" t="str">
        <f t="shared" ref="B31:G31" si="7">IF(B29="","",IF(OR(B11="Y",B13="Y",B14="Y",B16="Y",B18="Y",B20="Y"),IF(B19="Y","INTEG+SCOPE","INTEGRITY"),IF(B19="Y","SCOPE","Clean")))</f>
        <v>Clean</v>
      </c>
      <c r="C31" s="23" t="str">
        <f t="shared" si="7"/>
        <v>INTEGRITY</v>
      </c>
      <c r="D31" s="23" t="str">
        <f t="shared" si="7"/>
        <v>Clean</v>
      </c>
      <c r="E31" s="23" t="str">
        <f t="shared" si="7"/>
        <v>INTEGRITY</v>
      </c>
      <c r="F31" s="23" t="str">
        <f t="shared" si="7"/>
        <v/>
      </c>
      <c r="G31" s="23" t="str">
        <f t="shared" si="7"/>
        <v/>
      </c>
    </row>
    <row r="32" spans="1:7" x14ac:dyDescent="0.2">
      <c r="A32" s="19" t="s">
        <v>97</v>
      </c>
      <c r="B32" s="23">
        <f t="shared" ref="B32:G32" si="8">IF(B29="","",SUMPRODUCT(($B$29:$G$29&lt;&gt;"")*($B$29:$G$29&gt;B29))+1)</f>
        <v>2</v>
      </c>
      <c r="C32" s="23">
        <f t="shared" si="8"/>
        <v>3</v>
      </c>
      <c r="D32" s="23">
        <f t="shared" si="8"/>
        <v>1</v>
      </c>
      <c r="E32" s="23">
        <f t="shared" si="8"/>
        <v>4</v>
      </c>
      <c r="F32" s="23" t="str">
        <f t="shared" si="8"/>
        <v/>
      </c>
      <c r="G32" s="23" t="str">
        <f t="shared" si="8"/>
        <v/>
      </c>
    </row>
    <row r="34" spans="1:7" ht="27.75" customHeight="1" x14ac:dyDescent="0.2">
      <c r="A34" s="2" t="s">
        <v>98</v>
      </c>
      <c r="B34" s="2"/>
      <c r="C34" s="2"/>
      <c r="D34" s="2"/>
      <c r="E34" s="2"/>
      <c r="F34" s="2"/>
      <c r="G34" s="2"/>
    </row>
  </sheetData>
  <mergeCells count="5">
    <mergeCell ref="A1:G1"/>
    <mergeCell ref="A2:G2"/>
    <mergeCell ref="B10:G10"/>
    <mergeCell ref="B21:G21"/>
    <mergeCell ref="A34:G34"/>
  </mergeCells>
  <dataValidations count="3">
    <dataValidation type="list" allowBlank="1" sqref="B4:G9" xr:uid="{00000000-0002-0000-0200-000000000000}">
      <formula1>"0,1,2,3,4"</formula1>
      <formula2>0</formula2>
    </dataValidation>
    <dataValidation type="list" allowBlank="1" sqref="B11:G11 B13:G14 B16:G16 B18:G20" xr:uid="{00000000-0002-0000-0200-000001000000}">
      <formula1>"Y,N"</formula1>
      <formula2>0</formula2>
    </dataValidation>
    <dataValidation type="list" allowBlank="1" sqref="B12:G12 B15:G15 B17:G17" xr:uid="{00000000-0002-0000-02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18" customWidth="1"/>
    <col min="3" max="3" width="26" customWidth="1"/>
    <col min="4" max="5" width="28" customWidth="1"/>
    <col min="6" max="6" width="17" customWidth="1"/>
    <col min="7" max="7" width="15" customWidth="1"/>
    <col min="8" max="8" width="30" customWidth="1"/>
    <col min="9" max="9" width="11" customWidth="1"/>
  </cols>
  <sheetData>
    <row r="1" spans="1:9" ht="24" customHeight="1" x14ac:dyDescent="0.2">
      <c r="A1" s="13" t="s">
        <v>99</v>
      </c>
      <c r="B1" s="13"/>
      <c r="C1" s="13"/>
      <c r="D1" s="13"/>
      <c r="E1" s="13"/>
      <c r="F1" s="13"/>
      <c r="G1" s="13"/>
      <c r="H1" s="13"/>
      <c r="I1" s="13"/>
    </row>
    <row r="3" spans="1:9" x14ac:dyDescent="0.2">
      <c r="A3" s="17" t="s">
        <v>100</v>
      </c>
      <c r="B3" s="34" t="s">
        <v>101</v>
      </c>
      <c r="C3" s="34" t="s">
        <v>102</v>
      </c>
      <c r="D3" s="34" t="s">
        <v>103</v>
      </c>
      <c r="E3" s="34" t="s">
        <v>104</v>
      </c>
      <c r="F3" s="34" t="s">
        <v>105</v>
      </c>
      <c r="G3" s="34" t="s">
        <v>106</v>
      </c>
    </row>
    <row r="4" spans="1:9" x14ac:dyDescent="0.2">
      <c r="B4" s="35">
        <f>COUNTIF($F$7:$F$56,"SUPPORTS")</f>
        <v>0</v>
      </c>
      <c r="C4" s="35">
        <f>COUNTIF($F$7:$F$56,"WRONG-ATTRIBUTION")</f>
        <v>0</v>
      </c>
      <c r="D4" s="35">
        <f>COUNTIF($F$7:$F$56,"NOT-SUPPORTED")</f>
        <v>0</v>
      </c>
      <c r="E4" s="35">
        <f>COUNTIF($F$7:$F$56,"STALE")</f>
        <v>0</v>
      </c>
      <c r="F4" s="35">
        <f>COUNTIF($F$7:$F$56,"FABRICATED")</f>
        <v>0</v>
      </c>
      <c r="G4" s="35">
        <f>COUNTIF($F$7:$F$56,"UNVERIFIABLE")</f>
        <v>0</v>
      </c>
    </row>
    <row r="6" spans="1:9" ht="28" x14ac:dyDescent="0.2">
      <c r="A6" s="18" t="s">
        <v>107</v>
      </c>
      <c r="B6" s="18" t="s">
        <v>108</v>
      </c>
      <c r="C6" s="18" t="s">
        <v>109</v>
      </c>
      <c r="D6" s="18" t="s">
        <v>110</v>
      </c>
      <c r="E6" s="18" t="s">
        <v>111</v>
      </c>
      <c r="F6" s="18" t="s">
        <v>112</v>
      </c>
      <c r="G6" s="18" t="s">
        <v>113</v>
      </c>
      <c r="H6" s="18" t="s">
        <v>114</v>
      </c>
      <c r="I6" s="18" t="s">
        <v>115</v>
      </c>
    </row>
    <row r="7" spans="1:9" x14ac:dyDescent="0.2">
      <c r="A7" s="30">
        <v>1</v>
      </c>
      <c r="B7" s="36"/>
      <c r="C7" s="36"/>
      <c r="D7" s="36"/>
      <c r="E7" s="36"/>
      <c r="F7" s="36"/>
      <c r="G7" s="36"/>
      <c r="H7" s="36"/>
      <c r="I7" s="36"/>
    </row>
    <row r="8" spans="1:9" x14ac:dyDescent="0.2">
      <c r="A8" s="30">
        <v>2</v>
      </c>
      <c r="B8" s="36"/>
      <c r="C8" s="36"/>
      <c r="D8" s="36"/>
      <c r="E8" s="36"/>
      <c r="F8" s="36"/>
      <c r="G8" s="36"/>
      <c r="H8" s="36"/>
      <c r="I8" s="36"/>
    </row>
    <row r="9" spans="1:9" x14ac:dyDescent="0.2">
      <c r="A9" s="30">
        <v>3</v>
      </c>
      <c r="B9" s="36"/>
      <c r="C9" s="36"/>
      <c r="D9" s="36"/>
      <c r="E9" s="36"/>
      <c r="F9" s="36"/>
      <c r="G9" s="36"/>
      <c r="H9" s="36"/>
      <c r="I9" s="36"/>
    </row>
    <row r="10" spans="1:9" x14ac:dyDescent="0.2">
      <c r="A10" s="30">
        <v>4</v>
      </c>
      <c r="B10" s="36"/>
      <c r="C10" s="36"/>
      <c r="D10" s="36"/>
      <c r="E10" s="36"/>
      <c r="F10" s="36"/>
      <c r="G10" s="36"/>
      <c r="H10" s="36"/>
      <c r="I10" s="36"/>
    </row>
    <row r="11" spans="1:9" x14ac:dyDescent="0.2">
      <c r="A11" s="30">
        <v>5</v>
      </c>
      <c r="B11" s="36"/>
      <c r="C11" s="36"/>
      <c r="D11" s="36"/>
      <c r="E11" s="36"/>
      <c r="F11" s="36"/>
      <c r="G11" s="36"/>
      <c r="H11" s="36"/>
      <c r="I11" s="36"/>
    </row>
    <row r="12" spans="1:9" x14ac:dyDescent="0.2">
      <c r="A12" s="30">
        <v>6</v>
      </c>
      <c r="B12" s="36"/>
      <c r="C12" s="36"/>
      <c r="D12" s="36"/>
      <c r="E12" s="36"/>
      <c r="F12" s="36"/>
      <c r="G12" s="36"/>
      <c r="H12" s="36"/>
      <c r="I12" s="36"/>
    </row>
    <row r="13" spans="1:9" x14ac:dyDescent="0.2">
      <c r="A13" s="30">
        <v>7</v>
      </c>
      <c r="B13" s="36"/>
      <c r="C13" s="36"/>
      <c r="D13" s="36"/>
      <c r="E13" s="36"/>
      <c r="F13" s="36"/>
      <c r="G13" s="36"/>
      <c r="H13" s="36"/>
      <c r="I13" s="36"/>
    </row>
    <row r="14" spans="1:9" x14ac:dyDescent="0.2">
      <c r="A14" s="30">
        <v>8</v>
      </c>
      <c r="B14" s="36"/>
      <c r="C14" s="36"/>
      <c r="D14" s="36"/>
      <c r="E14" s="36"/>
      <c r="F14" s="36"/>
      <c r="G14" s="36"/>
      <c r="H14" s="36"/>
      <c r="I14" s="36"/>
    </row>
    <row r="15" spans="1:9" x14ac:dyDescent="0.2">
      <c r="A15" s="30">
        <v>9</v>
      </c>
      <c r="B15" s="36"/>
      <c r="C15" s="36"/>
      <c r="D15" s="36"/>
      <c r="E15" s="36"/>
      <c r="F15" s="36"/>
      <c r="G15" s="36"/>
      <c r="H15" s="36"/>
      <c r="I15" s="36"/>
    </row>
    <row r="16" spans="1:9" x14ac:dyDescent="0.2">
      <c r="A16" s="30">
        <v>10</v>
      </c>
      <c r="B16" s="36"/>
      <c r="C16" s="36"/>
      <c r="D16" s="36"/>
      <c r="E16" s="36"/>
      <c r="F16" s="36"/>
      <c r="G16" s="36"/>
      <c r="H16" s="36"/>
      <c r="I16" s="36"/>
    </row>
    <row r="17" spans="1:9" x14ac:dyDescent="0.2">
      <c r="A17" s="30">
        <v>11</v>
      </c>
      <c r="B17" s="36"/>
      <c r="C17" s="36"/>
      <c r="D17" s="36"/>
      <c r="E17" s="36"/>
      <c r="F17" s="36"/>
      <c r="G17" s="36"/>
      <c r="H17" s="36"/>
      <c r="I17" s="36"/>
    </row>
    <row r="18" spans="1:9" x14ac:dyDescent="0.2">
      <c r="A18" s="30">
        <v>12</v>
      </c>
      <c r="B18" s="36"/>
      <c r="C18" s="36"/>
      <c r="D18" s="36"/>
      <c r="E18" s="36"/>
      <c r="F18" s="36"/>
      <c r="G18" s="36"/>
      <c r="H18" s="36"/>
      <c r="I18" s="36"/>
    </row>
    <row r="19" spans="1:9" x14ac:dyDescent="0.2">
      <c r="A19" s="30">
        <v>13</v>
      </c>
      <c r="B19" s="36"/>
      <c r="C19" s="36"/>
      <c r="D19" s="36"/>
      <c r="E19" s="36"/>
      <c r="F19" s="36"/>
      <c r="G19" s="36"/>
      <c r="H19" s="36"/>
      <c r="I19" s="36"/>
    </row>
    <row r="20" spans="1:9" x14ac:dyDescent="0.2">
      <c r="A20" s="30">
        <v>14</v>
      </c>
      <c r="B20" s="36"/>
      <c r="C20" s="36"/>
      <c r="D20" s="36"/>
      <c r="E20" s="36"/>
      <c r="F20" s="36"/>
      <c r="G20" s="36"/>
      <c r="H20" s="36"/>
      <c r="I20" s="36"/>
    </row>
    <row r="21" spans="1:9" x14ac:dyDescent="0.2">
      <c r="A21" s="30">
        <v>15</v>
      </c>
      <c r="B21" s="36"/>
      <c r="C21" s="36"/>
      <c r="D21" s="36"/>
      <c r="E21" s="36"/>
      <c r="F21" s="36"/>
      <c r="G21" s="36"/>
      <c r="H21" s="36"/>
      <c r="I21" s="36"/>
    </row>
    <row r="22" spans="1:9" x14ac:dyDescent="0.2">
      <c r="A22" s="30">
        <v>16</v>
      </c>
      <c r="B22" s="36"/>
      <c r="C22" s="36"/>
      <c r="D22" s="36"/>
      <c r="E22" s="36"/>
      <c r="F22" s="36"/>
      <c r="G22" s="36"/>
      <c r="H22" s="36"/>
      <c r="I22" s="36"/>
    </row>
    <row r="23" spans="1:9" x14ac:dyDescent="0.2">
      <c r="A23" s="30">
        <v>17</v>
      </c>
      <c r="B23" s="36"/>
      <c r="C23" s="36"/>
      <c r="D23" s="36"/>
      <c r="E23" s="36"/>
      <c r="F23" s="36"/>
      <c r="G23" s="36"/>
      <c r="H23" s="36"/>
      <c r="I23" s="36"/>
    </row>
    <row r="24" spans="1:9" x14ac:dyDescent="0.2">
      <c r="A24" s="30">
        <v>18</v>
      </c>
      <c r="B24" s="36"/>
      <c r="C24" s="36"/>
      <c r="D24" s="36"/>
      <c r="E24" s="36"/>
      <c r="F24" s="36"/>
      <c r="G24" s="36"/>
      <c r="H24" s="36"/>
      <c r="I24" s="36"/>
    </row>
    <row r="25" spans="1:9" x14ac:dyDescent="0.2">
      <c r="A25" s="30">
        <v>19</v>
      </c>
      <c r="B25" s="36"/>
      <c r="C25" s="36"/>
      <c r="D25" s="36"/>
      <c r="E25" s="36"/>
      <c r="F25" s="36"/>
      <c r="G25" s="36"/>
      <c r="H25" s="36"/>
      <c r="I25" s="36"/>
    </row>
    <row r="26" spans="1:9" x14ac:dyDescent="0.2">
      <c r="A26" s="30">
        <v>20</v>
      </c>
      <c r="B26" s="36"/>
      <c r="C26" s="36"/>
      <c r="D26" s="36"/>
      <c r="E26" s="36"/>
      <c r="F26" s="36"/>
      <c r="G26" s="36"/>
      <c r="H26" s="36"/>
      <c r="I26" s="36"/>
    </row>
    <row r="27" spans="1:9" x14ac:dyDescent="0.2">
      <c r="A27" s="30">
        <v>21</v>
      </c>
      <c r="B27" s="36"/>
      <c r="C27" s="36"/>
      <c r="D27" s="36"/>
      <c r="E27" s="36"/>
      <c r="F27" s="36"/>
      <c r="G27" s="36"/>
      <c r="H27" s="36"/>
      <c r="I27" s="36"/>
    </row>
    <row r="28" spans="1:9" x14ac:dyDescent="0.2">
      <c r="A28" s="30">
        <v>22</v>
      </c>
      <c r="B28" s="36"/>
      <c r="C28" s="36"/>
      <c r="D28" s="36"/>
      <c r="E28" s="36"/>
      <c r="F28" s="36"/>
      <c r="G28" s="36"/>
      <c r="H28" s="36"/>
      <c r="I28" s="36"/>
    </row>
    <row r="29" spans="1:9" x14ac:dyDescent="0.2">
      <c r="A29" s="30">
        <v>23</v>
      </c>
      <c r="B29" s="36"/>
      <c r="C29" s="36"/>
      <c r="D29" s="36"/>
      <c r="E29" s="36"/>
      <c r="F29" s="36"/>
      <c r="G29" s="36"/>
      <c r="H29" s="36"/>
      <c r="I29" s="36"/>
    </row>
    <row r="30" spans="1:9" x14ac:dyDescent="0.2">
      <c r="A30" s="30">
        <v>24</v>
      </c>
      <c r="B30" s="36"/>
      <c r="C30" s="36"/>
      <c r="D30" s="36"/>
      <c r="E30" s="36"/>
      <c r="F30" s="36"/>
      <c r="G30" s="36"/>
      <c r="H30" s="36"/>
      <c r="I30" s="36"/>
    </row>
    <row r="31" spans="1:9" x14ac:dyDescent="0.2">
      <c r="A31" s="30">
        <v>25</v>
      </c>
      <c r="B31" s="36"/>
      <c r="C31" s="36"/>
      <c r="D31" s="36"/>
      <c r="E31" s="36"/>
      <c r="F31" s="36"/>
      <c r="G31" s="36"/>
      <c r="H31" s="36"/>
      <c r="I31" s="36"/>
    </row>
    <row r="32" spans="1:9" x14ac:dyDescent="0.2">
      <c r="A32" s="30">
        <v>26</v>
      </c>
      <c r="B32" s="36"/>
      <c r="C32" s="36"/>
      <c r="D32" s="36"/>
      <c r="E32" s="36"/>
      <c r="F32" s="36"/>
      <c r="G32" s="36"/>
      <c r="H32" s="36"/>
      <c r="I32" s="36"/>
    </row>
    <row r="33" spans="1:9" x14ac:dyDescent="0.2">
      <c r="A33" s="30">
        <v>27</v>
      </c>
      <c r="B33" s="36"/>
      <c r="C33" s="36"/>
      <c r="D33" s="36"/>
      <c r="E33" s="36"/>
      <c r="F33" s="36"/>
      <c r="G33" s="36"/>
      <c r="H33" s="36"/>
      <c r="I33" s="36"/>
    </row>
    <row r="34" spans="1:9" x14ac:dyDescent="0.2">
      <c r="A34" s="30">
        <v>28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2">
      <c r="A35" s="30">
        <v>29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2">
      <c r="A36" s="30">
        <v>30</v>
      </c>
      <c r="B36" s="36"/>
      <c r="C36" s="36"/>
      <c r="D36" s="36"/>
      <c r="E36" s="36"/>
      <c r="F36" s="36"/>
      <c r="G36" s="36"/>
      <c r="H36" s="36"/>
      <c r="I36" s="36"/>
    </row>
    <row r="37" spans="1:9" x14ac:dyDescent="0.2">
      <c r="A37" s="30">
        <v>31</v>
      </c>
      <c r="B37" s="36"/>
      <c r="C37" s="36"/>
      <c r="D37" s="36"/>
      <c r="E37" s="36"/>
      <c r="F37" s="36"/>
      <c r="G37" s="36"/>
      <c r="H37" s="36"/>
      <c r="I37" s="36"/>
    </row>
    <row r="38" spans="1:9" x14ac:dyDescent="0.2">
      <c r="A38" s="30">
        <v>32</v>
      </c>
      <c r="B38" s="36"/>
      <c r="C38" s="36"/>
      <c r="D38" s="36"/>
      <c r="E38" s="36"/>
      <c r="F38" s="36"/>
      <c r="G38" s="36"/>
      <c r="H38" s="36"/>
      <c r="I38" s="36"/>
    </row>
    <row r="39" spans="1:9" x14ac:dyDescent="0.2">
      <c r="A39" s="30">
        <v>33</v>
      </c>
      <c r="B39" s="36"/>
      <c r="C39" s="36"/>
      <c r="D39" s="36"/>
      <c r="E39" s="36"/>
      <c r="F39" s="36"/>
      <c r="G39" s="36"/>
      <c r="H39" s="36"/>
      <c r="I39" s="36"/>
    </row>
    <row r="40" spans="1:9" x14ac:dyDescent="0.2">
      <c r="A40" s="30">
        <v>34</v>
      </c>
      <c r="B40" s="36"/>
      <c r="C40" s="36"/>
      <c r="D40" s="36"/>
      <c r="E40" s="36"/>
      <c r="F40" s="36"/>
      <c r="G40" s="36"/>
      <c r="H40" s="36"/>
      <c r="I40" s="36"/>
    </row>
    <row r="41" spans="1:9" x14ac:dyDescent="0.2">
      <c r="A41" s="30">
        <v>35</v>
      </c>
      <c r="B41" s="36"/>
      <c r="C41" s="36"/>
      <c r="D41" s="36"/>
      <c r="E41" s="36"/>
      <c r="F41" s="36"/>
      <c r="G41" s="36"/>
      <c r="H41" s="36"/>
      <c r="I41" s="36"/>
    </row>
    <row r="42" spans="1:9" x14ac:dyDescent="0.2">
      <c r="A42" s="30">
        <v>36</v>
      </c>
      <c r="B42" s="36"/>
      <c r="C42" s="36"/>
      <c r="D42" s="36"/>
      <c r="E42" s="36"/>
      <c r="F42" s="36"/>
      <c r="G42" s="36"/>
      <c r="H42" s="36"/>
      <c r="I42" s="36"/>
    </row>
    <row r="43" spans="1:9" x14ac:dyDescent="0.2">
      <c r="A43" s="30">
        <v>37</v>
      </c>
      <c r="B43" s="36"/>
      <c r="C43" s="36"/>
      <c r="D43" s="36"/>
      <c r="E43" s="36"/>
      <c r="F43" s="36"/>
      <c r="G43" s="36"/>
      <c r="H43" s="36"/>
      <c r="I43" s="36"/>
    </row>
    <row r="44" spans="1:9" x14ac:dyDescent="0.2">
      <c r="A44" s="30">
        <v>38</v>
      </c>
      <c r="B44" s="36"/>
      <c r="C44" s="36"/>
      <c r="D44" s="36"/>
      <c r="E44" s="36"/>
      <c r="F44" s="36"/>
      <c r="G44" s="36"/>
      <c r="H44" s="36"/>
      <c r="I44" s="36"/>
    </row>
    <row r="45" spans="1:9" x14ac:dyDescent="0.2">
      <c r="A45" s="30">
        <v>39</v>
      </c>
      <c r="B45" s="36"/>
      <c r="C45" s="36"/>
      <c r="D45" s="36"/>
      <c r="E45" s="36"/>
      <c r="F45" s="36"/>
      <c r="G45" s="36"/>
      <c r="H45" s="36"/>
      <c r="I45" s="36"/>
    </row>
    <row r="46" spans="1:9" x14ac:dyDescent="0.2">
      <c r="A46" s="30">
        <v>40</v>
      </c>
      <c r="B46" s="36"/>
      <c r="C46" s="36"/>
      <c r="D46" s="36"/>
      <c r="E46" s="36"/>
      <c r="F46" s="36"/>
      <c r="G46" s="36"/>
      <c r="H46" s="36"/>
      <c r="I46" s="36"/>
    </row>
    <row r="47" spans="1:9" x14ac:dyDescent="0.2">
      <c r="A47" s="30">
        <v>41</v>
      </c>
      <c r="B47" s="36"/>
      <c r="C47" s="36"/>
      <c r="D47" s="36"/>
      <c r="E47" s="36"/>
      <c r="F47" s="36"/>
      <c r="G47" s="36"/>
      <c r="H47" s="36"/>
      <c r="I47" s="36"/>
    </row>
    <row r="48" spans="1:9" x14ac:dyDescent="0.2">
      <c r="A48" s="30">
        <v>42</v>
      </c>
      <c r="B48" s="36"/>
      <c r="C48" s="36"/>
      <c r="D48" s="36"/>
      <c r="E48" s="36"/>
      <c r="F48" s="36"/>
      <c r="G48" s="36"/>
      <c r="H48" s="36"/>
      <c r="I48" s="36"/>
    </row>
    <row r="49" spans="1:9" x14ac:dyDescent="0.2">
      <c r="A49" s="30">
        <v>43</v>
      </c>
      <c r="B49" s="36"/>
      <c r="C49" s="36"/>
      <c r="D49" s="36"/>
      <c r="E49" s="36"/>
      <c r="F49" s="36"/>
      <c r="G49" s="36"/>
      <c r="H49" s="36"/>
      <c r="I49" s="36"/>
    </row>
    <row r="50" spans="1:9" x14ac:dyDescent="0.2">
      <c r="A50" s="30">
        <v>44</v>
      </c>
      <c r="B50" s="36"/>
      <c r="C50" s="36"/>
      <c r="D50" s="36"/>
      <c r="E50" s="36"/>
      <c r="F50" s="36"/>
      <c r="G50" s="36"/>
      <c r="H50" s="36"/>
      <c r="I50" s="36"/>
    </row>
    <row r="51" spans="1:9" x14ac:dyDescent="0.2">
      <c r="A51" s="30">
        <v>45</v>
      </c>
      <c r="B51" s="36"/>
      <c r="C51" s="36"/>
      <c r="D51" s="36"/>
      <c r="E51" s="36"/>
      <c r="F51" s="36"/>
      <c r="G51" s="36"/>
      <c r="H51" s="36"/>
      <c r="I51" s="36"/>
    </row>
    <row r="52" spans="1:9" x14ac:dyDescent="0.2">
      <c r="A52" s="30">
        <v>46</v>
      </c>
      <c r="B52" s="36"/>
      <c r="C52" s="36"/>
      <c r="D52" s="36"/>
      <c r="E52" s="36"/>
      <c r="F52" s="36"/>
      <c r="G52" s="36"/>
      <c r="H52" s="36"/>
      <c r="I52" s="36"/>
    </row>
    <row r="53" spans="1:9" x14ac:dyDescent="0.2">
      <c r="A53" s="30">
        <v>47</v>
      </c>
      <c r="B53" s="36"/>
      <c r="C53" s="36"/>
      <c r="D53" s="36"/>
      <c r="E53" s="36"/>
      <c r="F53" s="36"/>
      <c r="G53" s="36"/>
      <c r="H53" s="36"/>
      <c r="I53" s="36"/>
    </row>
    <row r="54" spans="1:9" x14ac:dyDescent="0.2">
      <c r="A54" s="30">
        <v>48</v>
      </c>
      <c r="B54" s="36"/>
      <c r="C54" s="36"/>
      <c r="D54" s="36"/>
      <c r="E54" s="36"/>
      <c r="F54" s="36"/>
      <c r="G54" s="36"/>
      <c r="H54" s="36"/>
      <c r="I54" s="36"/>
    </row>
    <row r="55" spans="1:9" x14ac:dyDescent="0.2">
      <c r="A55" s="30">
        <v>49</v>
      </c>
      <c r="B55" s="36"/>
      <c r="C55" s="36"/>
      <c r="D55" s="36"/>
      <c r="E55" s="36"/>
      <c r="F55" s="36"/>
      <c r="G55" s="36"/>
      <c r="H55" s="36"/>
      <c r="I55" s="36"/>
    </row>
    <row r="56" spans="1:9" x14ac:dyDescent="0.2">
      <c r="A56" s="30">
        <v>50</v>
      </c>
      <c r="B56" s="36"/>
      <c r="C56" s="36"/>
      <c r="D56" s="36"/>
      <c r="E56" s="36"/>
      <c r="F56" s="36"/>
      <c r="G56" s="36"/>
      <c r="H56" s="36"/>
      <c r="I56" s="36"/>
    </row>
  </sheetData>
  <mergeCells count="1">
    <mergeCell ref="A1:I1"/>
  </mergeCells>
  <dataValidations count="2">
    <dataValidation type="list" allowBlank="1" sqref="F7:F56" xr:uid="{00000000-0002-0000-0300-000000000000}">
      <formula1>"SUPPORTS,WRONG-ATTRIBUTION,NOT-SUPPORTED,STALE,FABRICATED,UNVERIFIABLE"</formula1>
      <formula2>0</formula2>
    </dataValidation>
    <dataValidation type="list" allowBlank="1" sqref="G7:G56" xr:uid="{00000000-0002-0000-0300-000001000000}">
      <formula1>"Central,Peripheral,n/a"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  <col min="3" max="3" width="84" customWidth="1"/>
  </cols>
  <sheetData>
    <row r="1" spans="1:3" ht="21.75" customHeight="1" x14ac:dyDescent="0.2">
      <c r="A1" s="1" t="s">
        <v>116</v>
      </c>
      <c r="B1" s="1"/>
      <c r="C1" s="1"/>
    </row>
    <row r="3" spans="1:3" x14ac:dyDescent="0.2">
      <c r="A3" s="27" t="s">
        <v>117</v>
      </c>
    </row>
    <row r="4" spans="1:3" x14ac:dyDescent="0.2">
      <c r="A4" s="18" t="s">
        <v>22</v>
      </c>
      <c r="B4" s="18" t="s">
        <v>23</v>
      </c>
      <c r="C4" s="18" t="s">
        <v>118</v>
      </c>
    </row>
    <row r="5" spans="1:3" ht="43.5" customHeight="1" x14ac:dyDescent="0.2">
      <c r="A5" s="19" t="s">
        <v>119</v>
      </c>
      <c r="B5" s="23" t="s">
        <v>120</v>
      </c>
      <c r="C5" s="24" t="s">
        <v>121</v>
      </c>
    </row>
    <row r="6" spans="1:3" ht="43.5" customHeight="1" x14ac:dyDescent="0.2">
      <c r="A6" s="19" t="s">
        <v>122</v>
      </c>
      <c r="B6" s="23" t="s">
        <v>123</v>
      </c>
      <c r="C6" s="24" t="s">
        <v>124</v>
      </c>
    </row>
    <row r="7" spans="1:3" ht="43.5" customHeight="1" x14ac:dyDescent="0.2">
      <c r="A7" s="19" t="s">
        <v>125</v>
      </c>
      <c r="B7" s="23" t="s">
        <v>120</v>
      </c>
      <c r="C7" s="24" t="s">
        <v>126</v>
      </c>
    </row>
    <row r="8" spans="1:3" ht="43.5" customHeight="1" x14ac:dyDescent="0.2">
      <c r="A8" s="19" t="s">
        <v>127</v>
      </c>
      <c r="B8" s="23" t="s">
        <v>128</v>
      </c>
      <c r="C8" s="24" t="s">
        <v>129</v>
      </c>
    </row>
    <row r="9" spans="1:3" ht="43.5" customHeight="1" x14ac:dyDescent="0.2">
      <c r="A9" s="19" t="s">
        <v>130</v>
      </c>
      <c r="B9" s="23" t="s">
        <v>131</v>
      </c>
      <c r="C9" s="24" t="s">
        <v>132</v>
      </c>
    </row>
    <row r="10" spans="1:3" ht="43.5" customHeight="1" x14ac:dyDescent="0.2">
      <c r="A10" s="19" t="s">
        <v>133</v>
      </c>
      <c r="B10" s="23" t="s">
        <v>131</v>
      </c>
      <c r="C10" s="24" t="s">
        <v>134</v>
      </c>
    </row>
    <row r="12" spans="1:3" x14ac:dyDescent="0.2">
      <c r="A12" s="27" t="s">
        <v>135</v>
      </c>
    </row>
    <row r="13" spans="1:3" x14ac:dyDescent="0.2">
      <c r="A13" s="18" t="s">
        <v>136</v>
      </c>
      <c r="B13" s="18" t="s">
        <v>39</v>
      </c>
      <c r="C13" s="18" t="s">
        <v>137</v>
      </c>
    </row>
    <row r="14" spans="1:3" ht="25.5" customHeight="1" x14ac:dyDescent="0.2">
      <c r="A14" s="19" t="s">
        <v>138</v>
      </c>
      <c r="B14" s="22" t="s">
        <v>139</v>
      </c>
      <c r="C14" s="24" t="s">
        <v>140</v>
      </c>
    </row>
    <row r="15" spans="1:3" ht="25.5" customHeight="1" x14ac:dyDescent="0.2">
      <c r="A15" s="19" t="s">
        <v>141</v>
      </c>
      <c r="B15" s="22" t="s">
        <v>34</v>
      </c>
      <c r="C15" s="24" t="s">
        <v>142</v>
      </c>
    </row>
    <row r="16" spans="1:3" ht="25.5" customHeight="1" x14ac:dyDescent="0.2">
      <c r="A16" s="19" t="s">
        <v>143</v>
      </c>
      <c r="B16" s="22" t="s">
        <v>139</v>
      </c>
      <c r="C16" s="24" t="s">
        <v>144</v>
      </c>
    </row>
    <row r="17" spans="1:3" ht="25.5" customHeight="1" x14ac:dyDescent="0.2">
      <c r="A17" s="19" t="s">
        <v>145</v>
      </c>
      <c r="B17" s="22" t="s">
        <v>139</v>
      </c>
      <c r="C17" s="24" t="s">
        <v>144</v>
      </c>
    </row>
    <row r="18" spans="1:3" ht="25.5" customHeight="1" x14ac:dyDescent="0.2">
      <c r="A18" s="19" t="s">
        <v>146</v>
      </c>
      <c r="B18" s="22" t="s">
        <v>34</v>
      </c>
      <c r="C18" s="24" t="s">
        <v>147</v>
      </c>
    </row>
    <row r="19" spans="1:3" ht="25.5" customHeight="1" x14ac:dyDescent="0.2">
      <c r="A19" s="19" t="s">
        <v>148</v>
      </c>
      <c r="B19" s="22" t="s">
        <v>34</v>
      </c>
      <c r="C19" s="24" t="s">
        <v>149</v>
      </c>
    </row>
    <row r="20" spans="1:3" ht="25.5" customHeight="1" x14ac:dyDescent="0.2">
      <c r="A20" s="19" t="s">
        <v>150</v>
      </c>
      <c r="B20" s="22" t="s">
        <v>34</v>
      </c>
      <c r="C20" s="24" t="s">
        <v>151</v>
      </c>
    </row>
    <row r="22" spans="1:3" x14ac:dyDescent="0.2">
      <c r="A22" s="27" t="s">
        <v>152</v>
      </c>
    </row>
    <row r="23" spans="1:3" ht="30" customHeight="1" x14ac:dyDescent="0.2">
      <c r="A23" s="37" t="s">
        <v>153</v>
      </c>
      <c r="C23" s="16" t="s">
        <v>154</v>
      </c>
    </row>
    <row r="24" spans="1:3" ht="30" customHeight="1" x14ac:dyDescent="0.2">
      <c r="A24" s="37" t="s">
        <v>155</v>
      </c>
      <c r="C24" s="16" t="s">
        <v>156</v>
      </c>
    </row>
    <row r="25" spans="1:3" ht="30" customHeight="1" x14ac:dyDescent="0.2">
      <c r="A25" s="37" t="s">
        <v>60</v>
      </c>
      <c r="C25" s="16" t="s">
        <v>157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Scorecard</vt:lpstr>
      <vt:lpstr>Comparison</vt:lpstr>
      <vt:lpstr>Citation Sample Log</vt:lpstr>
      <vt:lpstr>Rubric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Hsu</cp:lastModifiedBy>
  <cp:revision>0</cp:revision>
  <dcterms:created xsi:type="dcterms:W3CDTF">2026-05-29T18:38:23Z</dcterms:created>
  <dcterms:modified xsi:type="dcterms:W3CDTF">2026-05-30T01:35:49Z</dcterms:modified>
  <dc:language>en-US</dc:language>
</cp:coreProperties>
</file>