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ichaelhsu/Work/04-policy-sludge-code/bank boards_cumulative-sludge/"/>
    </mc:Choice>
  </mc:AlternateContent>
  <xr:revisionPtr revIDLastSave="0" documentId="13_ncr:1_{ED7F37EC-9B00-7D44-8123-932F03DC5B58}" xr6:coauthVersionLast="47" xr6:coauthVersionMax="47" xr10:uidLastSave="{00000000-0000-0000-0000-000000000000}"/>
  <bookViews>
    <workbookView xWindow="1380" yWindow="2400" windowWidth="27760" windowHeight="15680" activeTab="4" xr2:uid="{0A4591E3-141F-1F4A-ACC8-332B503F49B1}"/>
  </bookViews>
  <sheets>
    <sheet name="Weighted scores" sheetId="7" r:id="rId1"/>
    <sheet name="Dimension scores" sheetId="8" r:id="rId2"/>
    <sheet name="Pivot_Summary" sheetId="4" r:id="rId3"/>
    <sheet name="Claude_judge" sheetId="1" r:id="rId4"/>
    <sheet name="Codex_judge" sheetId="2" r:id="rId5"/>
    <sheet name="Raw_Data" sheetId="5" r:id="rId6"/>
    <sheet name="Gemma_judge" sheetId="3" r:id="rId7"/>
  </sheets>
  <calcPr calcId="191029" iterateDelta="1E-4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2" l="1"/>
  <c r="F26" i="2"/>
  <c r="F25" i="2"/>
  <c r="F24" i="2"/>
  <c r="F23" i="2"/>
  <c r="F22" i="2"/>
  <c r="G22" i="2"/>
  <c r="H22" i="2"/>
  <c r="G23" i="2"/>
  <c r="H23" i="2"/>
  <c r="G24" i="2"/>
  <c r="H24" i="2"/>
  <c r="G25" i="2"/>
  <c r="H25" i="2"/>
  <c r="G26" i="2"/>
  <c r="H26" i="2"/>
  <c r="G27" i="2"/>
  <c r="H27" i="2"/>
  <c r="G29" i="2"/>
  <c r="H29" i="2"/>
  <c r="E27" i="2"/>
  <c r="E26" i="2"/>
  <c r="E25" i="2"/>
  <c r="E24" i="2"/>
  <c r="E23" i="2"/>
  <c r="E22" i="2"/>
  <c r="F27" i="4"/>
  <c r="E27" i="4"/>
  <c r="D27" i="4"/>
  <c r="C27" i="4"/>
  <c r="F23" i="4"/>
  <c r="E23" i="4"/>
  <c r="D23" i="4"/>
  <c r="C23" i="4"/>
  <c r="F19" i="4"/>
  <c r="E19" i="4"/>
  <c r="D19" i="4"/>
  <c r="C19" i="4"/>
  <c r="F15" i="4"/>
  <c r="E15" i="4"/>
  <c r="D15" i="4"/>
  <c r="C15" i="4"/>
  <c r="F11" i="4"/>
  <c r="E11" i="4"/>
  <c r="D11" i="4"/>
  <c r="C11" i="4"/>
  <c r="F7" i="4"/>
  <c r="E7" i="4"/>
  <c r="D7" i="4"/>
  <c r="C7" i="4"/>
  <c r="G29" i="3"/>
  <c r="F29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G29" i="1"/>
  <c r="F29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F29" i="2" l="1"/>
  <c r="G31" i="2"/>
  <c r="G30" i="2"/>
  <c r="H30" i="2"/>
  <c r="H31" i="2"/>
  <c r="E29" i="2"/>
  <c r="D29" i="2"/>
  <c r="G32" i="3"/>
  <c r="F32" i="3"/>
  <c r="G31" i="3"/>
  <c r="F31" i="3"/>
  <c r="G30" i="3"/>
  <c r="F30" i="3"/>
  <c r="D29" i="3"/>
  <c r="E30" i="4" s="1"/>
  <c r="C29" i="3"/>
  <c r="D30" i="4" s="1"/>
  <c r="B29" i="3"/>
  <c r="C30" i="4" s="1"/>
  <c r="E29" i="3"/>
  <c r="F30" i="4" s="1"/>
  <c r="F29" i="4"/>
  <c r="C29" i="2"/>
  <c r="E29" i="4" s="1"/>
  <c r="B29" i="2"/>
  <c r="C29" i="4"/>
  <c r="G32" i="1"/>
  <c r="F32" i="1"/>
  <c r="G31" i="1"/>
  <c r="F31" i="1"/>
  <c r="G30" i="1"/>
  <c r="F30" i="1"/>
  <c r="D29" i="1"/>
  <c r="E28" i="4" s="1"/>
  <c r="C29" i="1"/>
  <c r="D28" i="4" s="1"/>
  <c r="B29" i="1"/>
  <c r="C28" i="4" s="1"/>
  <c r="E29" i="1"/>
  <c r="F28" i="4" s="1"/>
  <c r="F30" i="2" l="1"/>
  <c r="F31" i="2"/>
  <c r="D29" i="4"/>
  <c r="E32" i="2"/>
  <c r="F31" i="4"/>
  <c r="E31" i="2"/>
  <c r="E30" i="2"/>
  <c r="D31" i="4"/>
  <c r="C31" i="4"/>
  <c r="D31" i="2"/>
  <c r="D30" i="2"/>
  <c r="D32" i="2"/>
  <c r="E31" i="4"/>
  <c r="D30" i="3"/>
  <c r="D31" i="3"/>
  <c r="D32" i="3"/>
  <c r="C30" i="3"/>
  <c r="C31" i="3"/>
  <c r="C32" i="3"/>
  <c r="B30" i="3"/>
  <c r="B31" i="3"/>
  <c r="B32" i="3"/>
  <c r="E30" i="3"/>
  <c r="E31" i="3"/>
  <c r="E32" i="3"/>
  <c r="C30" i="2"/>
  <c r="C31" i="2"/>
  <c r="C32" i="2"/>
  <c r="B30" i="2"/>
  <c r="B31" i="2"/>
  <c r="B32" i="2"/>
  <c r="D30" i="1"/>
  <c r="D31" i="1"/>
  <c r="D32" i="1"/>
  <c r="C30" i="1"/>
  <c r="C31" i="1"/>
  <c r="C32" i="1"/>
  <c r="B30" i="1"/>
  <c r="B31" i="1"/>
  <c r="B32" i="1"/>
  <c r="E30" i="1"/>
  <c r="E31" i="1"/>
  <c r="E32" i="1"/>
</calcChain>
</file>

<file path=xl/sharedStrings.xml><?xml version="1.0" encoding="utf-8"?>
<sst xmlns="http://schemas.openxmlformats.org/spreadsheetml/2006/main" count="740" uniqueCount="90">
  <si>
    <t>Policy-Sludge Outputs — Comparison (up to 6, auto-computed)</t>
  </si>
  <si>
    <t>Enter each output's six RAW 0–4 scores and its flags. The sheet applies caps and computes effective scores, weighted overall, tier, overlay, and rank.</t>
  </si>
  <si>
    <t>Row</t>
  </si>
  <si>
    <t>Report A</t>
  </si>
  <si>
    <t>Report B</t>
  </si>
  <si>
    <t>Report C</t>
  </si>
  <si>
    <t>Report D</t>
  </si>
  <si>
    <t>Output E</t>
  </si>
  <si>
    <t>Output F</t>
  </si>
  <si>
    <t>D1 Coverage &amp; Comprehensiveness (raw)</t>
  </si>
  <si>
    <t>D2 Source &amp; Citation Integrity (raw)</t>
  </si>
  <si>
    <t>D3 Substantive Accuracy &amp; Currency (raw)</t>
  </si>
  <si>
    <t>D4 Sludge-Analysis Quality (raw)</t>
  </si>
  <si>
    <t>D5 Structure &amp; Fitness (raw)</t>
  </si>
  <si>
    <t>D6 Calibration &amp; Transparency (raw)</t>
  </si>
  <si>
    <t>FLAGS  (Y/N; severity where shown)</t>
  </si>
  <si>
    <t>F1 Fabricated (Y/N)</t>
  </si>
  <si>
    <t>N</t>
  </si>
  <si>
    <t>F1 severity (Central/Peripheral)</t>
  </si>
  <si>
    <t>Central</t>
  </si>
  <si>
    <t>F2 Misattribution (Y/N)</t>
  </si>
  <si>
    <t>F3 Stale-as-current (Y/N)</t>
  </si>
  <si>
    <t>F3 severity</t>
  </si>
  <si>
    <t>F4 Invented obligation (Y/N)</t>
  </si>
  <si>
    <t>F4 severity</t>
  </si>
  <si>
    <t>F5 False exhaustiveness (Y/N)</t>
  </si>
  <si>
    <t>Y</t>
  </si>
  <si>
    <t>F6 Scope evasion (Y/N)</t>
  </si>
  <si>
    <t>F7 Unsupported central conclusion (Y/N)</t>
  </si>
  <si>
    <t>EFFECTIVE (auto)</t>
  </si>
  <si>
    <t>eff D1</t>
  </si>
  <si>
    <t>eff D2</t>
  </si>
  <si>
    <t>eff D3</t>
  </si>
  <si>
    <t>eff D4</t>
  </si>
  <si>
    <t>eff D5</t>
  </si>
  <si>
    <t>eff D6</t>
  </si>
  <si>
    <t>Weighted overall (/100)</t>
  </si>
  <si>
    <t>Tier</t>
  </si>
  <si>
    <t>Reliability overlay</t>
  </si>
  <si>
    <t>Rank (by overall)</t>
  </si>
  <si>
    <t>Note: Rank is by numeric overall only. Any output marked INTEGRITY / INTEG+SCOPE in the overlay row should not be relied on regardless of rank.</t>
  </si>
  <si>
    <t>Peripheral</t>
  </si>
  <si>
    <t>D1–D6 Scores &amp; Weighted Overall by Judge</t>
  </si>
  <si>
    <t>Dimension</t>
  </si>
  <si>
    <t>Judge</t>
  </si>
  <si>
    <t>D1 Coverage &amp; Comprehensiveness</t>
  </si>
  <si>
    <t>Claude</t>
  </si>
  <si>
    <t>Codex</t>
  </si>
  <si>
    <t>Gemma</t>
  </si>
  <si>
    <t>Mean</t>
  </si>
  <si>
    <t>D2 Source &amp; Citation Integrity</t>
  </si>
  <si>
    <t>D3 Substantive Accuracy &amp; Currency</t>
  </si>
  <si>
    <t>D4 Sludge-Analysis Quality</t>
  </si>
  <si>
    <t>D5 Structure &amp; Fitness</t>
  </si>
  <si>
    <t>D6 Calibration &amp; Transparency</t>
  </si>
  <si>
    <t>Weighted Overall (/100)</t>
  </si>
  <si>
    <t>Report</t>
  </si>
  <si>
    <t>Dimension Label</t>
  </si>
  <si>
    <t>Score</t>
  </si>
  <si>
    <t>D1</t>
  </si>
  <si>
    <t>Coverage &amp; Comprehensiveness</t>
  </si>
  <si>
    <t>D2</t>
  </si>
  <si>
    <t>Source &amp; Citation Integrity</t>
  </si>
  <si>
    <t>D3</t>
  </si>
  <si>
    <t>Substantive Accuracy &amp; Currency</t>
  </si>
  <si>
    <t>D4</t>
  </si>
  <si>
    <t>Sludge-Analysis Quality</t>
  </si>
  <si>
    <t>D5</t>
  </si>
  <si>
    <t>Structure &amp; Fitness</t>
  </si>
  <si>
    <t>D6</t>
  </si>
  <si>
    <t>Calibration &amp; Transparency</t>
  </si>
  <si>
    <t>Weighted Overall</t>
  </si>
  <si>
    <t>Row Labels</t>
  </si>
  <si>
    <t>Grand Total</t>
  </si>
  <si>
    <t>Column Labels</t>
  </si>
  <si>
    <t>Sum of Score</t>
  </si>
  <si>
    <t>Caffrey</t>
  </si>
  <si>
    <t>RG</t>
  </si>
  <si>
    <t>GPT5.5</t>
  </si>
  <si>
    <t>Opus4.8</t>
  </si>
  <si>
    <t>ClaudeJudge</t>
  </si>
  <si>
    <t>CodexJudge</t>
  </si>
  <si>
    <t>GemmaJudge</t>
  </si>
  <si>
    <t>Opus4.8-orig</t>
  </si>
  <si>
    <t>GPT5.5-orig</t>
  </si>
  <si>
    <t>Kimi2.5</t>
  </si>
  <si>
    <t>GLM5.2</t>
  </si>
  <si>
    <t xml:space="preserve">  </t>
  </si>
  <si>
    <t>Policy-Sludge Outputs — Comparison (Codex-as-judge)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</si>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</sst>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10" fillId="7" borderId="0" xfId="0" applyFont="1" applyFill="1"/>
    <xf numFmtId="0" fontId="10" fillId="7" borderId="0" xfId="0" applyFont="1" applyFill="1" applyAlignment="1">
      <alignment horizont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12" fillId="10" borderId="0" xfId="0" applyFont="1" applyFill="1" applyAlignment="1">
      <alignment vertical="center"/>
    </xf>
    <xf numFmtId="2" fontId="0" fillId="10" borderId="0" xfId="0" applyNumberFormat="1" applyFill="1" applyAlignment="1">
      <alignment horizontal="center" vertical="center"/>
    </xf>
    <xf numFmtId="0" fontId="10" fillId="11" borderId="0" xfId="0" applyFont="1" applyFill="1" applyAlignment="1">
      <alignment vertical="center"/>
    </xf>
    <xf numFmtId="0" fontId="10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vertical="center"/>
    </xf>
    <xf numFmtId="0" fontId="9" fillId="12" borderId="0" xfId="0" applyFont="1" applyFill="1" applyAlignment="1">
      <alignment horizontal="center" vertical="center"/>
    </xf>
    <xf numFmtId="0" fontId="9" fillId="11" borderId="0" xfId="0" applyFont="1" applyFill="1" applyAlignment="1">
      <alignment vertical="center"/>
    </xf>
    <xf numFmtId="0" fontId="9" fillId="11" borderId="0" xfId="0" applyFont="1" applyFill="1" applyAlignment="1">
      <alignment horizontal="center" vertical="center"/>
    </xf>
    <xf numFmtId="0" fontId="14" fillId="13" borderId="0" xfId="0" applyFont="1" applyFill="1" applyAlignment="1">
      <alignment vertical="center"/>
    </xf>
    <xf numFmtId="164" fontId="13" fillId="13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0" fillId="11" borderId="0" xfId="0" applyFont="1" applyFill="1" applyAlignment="1">
      <alignment vertical="center" wrapText="1"/>
    </xf>
    <xf numFmtId="0" fontId="10" fillId="11" borderId="0" xfId="0" applyFont="1" applyFill="1" applyAlignment="1">
      <alignment vertical="center"/>
    </xf>
    <xf numFmtId="0" fontId="11" fillId="8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[Evaluation results_summary tables.xlsx]Weighted scores!PivotTable2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'Weighted scores'!$B$3:$B$4</c:f>
              <c:strCache>
                <c:ptCount val="1"/>
                <c:pt idx="0">
                  <c:v>Caffrey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'Weighted scores'!$A$5:$A$8</c:f>
              <c:strCache>
                <c:ptCount val="3"/>
                <c:pt idx="0">
                  <c:v>ClaudeJudge</c:v>
                </c:pt>
                <c:pt idx="1">
                  <c:v>CodexJudge</c:v>
                </c:pt>
                <c:pt idx="2">
                  <c:v>GemmaJudge</c:v>
                </c:pt>
              </c:strCache>
            </c:strRef>
          </c:cat>
          <c:val>
            <c:numRef>
              <c:f>'Weighted scores'!$B$5:$B$8</c:f>
              <c:numCache>
                <c:formatCode>General</c:formatCode>
                <c:ptCount val="3"/>
                <c:pt idx="0">
                  <c:v>76</c:v>
                </c:pt>
                <c:pt idx="1">
                  <c:v>30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4-EA41-9578-BEE02682D185}"/>
            </c:ext>
          </c:extLst>
        </c:ser>
        <c:ser>
          <c:idx val="1"/>
          <c:order val="1"/>
          <c:tx>
            <c:strRef>
              <c:f>'Weighted scores'!$C$3:$C$4</c:f>
              <c:strCache>
                <c:ptCount val="1"/>
                <c:pt idx="0">
                  <c:v>GPT5.5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'Weighted scores'!$A$5:$A$8</c:f>
              <c:strCache>
                <c:ptCount val="3"/>
                <c:pt idx="0">
                  <c:v>ClaudeJudge</c:v>
                </c:pt>
                <c:pt idx="1">
                  <c:v>CodexJudge</c:v>
                </c:pt>
                <c:pt idx="2">
                  <c:v>GemmaJudge</c:v>
                </c:pt>
              </c:strCache>
            </c:strRef>
          </c:cat>
          <c:val>
            <c:numRef>
              <c:f>'Weighted scores'!$C$5:$C$8</c:f>
              <c:numCache>
                <c:formatCode>General</c:formatCode>
                <c:ptCount val="3"/>
                <c:pt idx="0">
                  <c:v>83</c:v>
                </c:pt>
                <c:pt idx="1">
                  <c:v>81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4-EA41-9578-BEE02682D185}"/>
            </c:ext>
          </c:extLst>
        </c:ser>
        <c:ser>
          <c:idx val="2"/>
          <c:order val="2"/>
          <c:tx>
            <c:strRef>
              <c:f>'Weighted scores'!$D$3:$D$4</c:f>
              <c:strCache>
                <c:ptCount val="1"/>
                <c:pt idx="0">
                  <c:v>Opus4.8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'Weighted scores'!$A$5:$A$8</c:f>
              <c:strCache>
                <c:ptCount val="3"/>
                <c:pt idx="0">
                  <c:v>ClaudeJudge</c:v>
                </c:pt>
                <c:pt idx="1">
                  <c:v>CodexJudge</c:v>
                </c:pt>
                <c:pt idx="2">
                  <c:v>GemmaJudge</c:v>
                </c:pt>
              </c:strCache>
            </c:strRef>
          </c:cat>
          <c:val>
            <c:numRef>
              <c:f>'Weighted scores'!$D$5:$D$8</c:f>
              <c:numCache>
                <c:formatCode>General</c:formatCode>
                <c:ptCount val="3"/>
                <c:pt idx="0">
                  <c:v>85</c:v>
                </c:pt>
                <c:pt idx="1">
                  <c:v>69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4-EA41-9578-BEE02682D185}"/>
            </c:ext>
          </c:extLst>
        </c:ser>
        <c:ser>
          <c:idx val="3"/>
          <c:order val="3"/>
          <c:tx>
            <c:strRef>
              <c:f>'Weighted scores'!$E$3:$E$4</c:f>
              <c:strCache>
                <c:ptCount val="1"/>
                <c:pt idx="0">
                  <c:v>RG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'Weighted scores'!$A$5:$A$8</c:f>
              <c:strCache>
                <c:ptCount val="3"/>
                <c:pt idx="0">
                  <c:v>ClaudeJudge</c:v>
                </c:pt>
                <c:pt idx="1">
                  <c:v>CodexJudge</c:v>
                </c:pt>
                <c:pt idx="2">
                  <c:v>GemmaJudge</c:v>
                </c:pt>
              </c:strCache>
            </c:strRef>
          </c:cat>
          <c:val>
            <c:numRef>
              <c:f>'Weighted scores'!$E$5:$E$8</c:f>
              <c:numCache>
                <c:formatCode>General</c:formatCode>
                <c:ptCount val="3"/>
                <c:pt idx="0">
                  <c:v>30</c:v>
                </c:pt>
                <c:pt idx="1">
                  <c:v>14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14-EA41-9578-BEE02682D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462271"/>
        <c:axId val="846450175"/>
      </c:barChart>
      <c:catAx>
        <c:axId val="8464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50175"/>
        <c:crosses val="autoZero"/>
        <c:auto val="1"/>
        <c:lblAlgn val="ctr"/>
        <c:lblOffset val="100"/>
        <c:noMultiLvlLbl val="0"/>
      </c:catAx>
      <c:valAx>
        <c:axId val="8464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6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[Evaluation results_summary tables.xlsx]Dimension scores!PivotTable3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'Dimension scores'!$B$4:$B$5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'Dimension scores'!$A$6:$A$34</c:f>
              <c:multiLvlStrCache>
                <c:ptCount val="24"/>
                <c:lvl>
                  <c:pt idx="0">
                    <c:v>Calibration &amp; Transparency</c:v>
                  </c:pt>
                  <c:pt idx="1">
                    <c:v>Coverage &amp; Comprehensiveness</c:v>
                  </c:pt>
                  <c:pt idx="2">
                    <c:v>Sludge-Analysis Quality</c:v>
                  </c:pt>
                  <c:pt idx="3">
                    <c:v>Source &amp; Citation Integrity</c:v>
                  </c:pt>
                  <c:pt idx="4">
                    <c:v>Structure &amp; Fitness</c:v>
                  </c:pt>
                  <c:pt idx="5">
                    <c:v>Substantive Accuracy &amp; Currency</c:v>
                  </c:pt>
                  <c:pt idx="6">
                    <c:v>Calibration &amp; Transparency</c:v>
                  </c:pt>
                  <c:pt idx="7">
                    <c:v>Coverage &amp; Comprehensiveness</c:v>
                  </c:pt>
                  <c:pt idx="8">
                    <c:v>Sludge-Analysis Quality</c:v>
                  </c:pt>
                  <c:pt idx="9">
                    <c:v>Source &amp; Citation Integrity</c:v>
                  </c:pt>
                  <c:pt idx="10">
                    <c:v>Structure &amp; Fitness</c:v>
                  </c:pt>
                  <c:pt idx="11">
                    <c:v>Substantive Accuracy &amp; Currency</c:v>
                  </c:pt>
                  <c:pt idx="12">
                    <c:v>Calibration &amp; Transparency</c:v>
                  </c:pt>
                  <c:pt idx="13">
                    <c:v>Coverage &amp; Comprehensiveness</c:v>
                  </c:pt>
                  <c:pt idx="14">
                    <c:v>Sludge-Analysis Quality</c:v>
                  </c:pt>
                  <c:pt idx="15">
                    <c:v>Source &amp; Citation Integrity</c:v>
                  </c:pt>
                  <c:pt idx="16">
                    <c:v>Structure &amp; Fitness</c:v>
                  </c:pt>
                  <c:pt idx="17">
                    <c:v>Substantive Accuracy &amp; Currency</c:v>
                  </c:pt>
                  <c:pt idx="18">
                    <c:v>Calibration &amp; Transparency</c:v>
                  </c:pt>
                  <c:pt idx="19">
                    <c:v>Coverage &amp; Comprehensiveness</c:v>
                  </c:pt>
                  <c:pt idx="20">
                    <c:v>Sludge-Analysis Quality</c:v>
                  </c:pt>
                  <c:pt idx="21">
                    <c:v>Source &amp; Citation Integrity</c:v>
                  </c:pt>
                  <c:pt idx="22">
                    <c:v>Structure &amp; Fitness</c:v>
                  </c:pt>
                  <c:pt idx="23">
                    <c:v>Substantive Accuracy &amp; Currency</c:v>
                  </c:pt>
                </c:lvl>
                <c:lvl>
                  <c:pt idx="0">
                    <c:v>Caffrey</c:v>
                  </c:pt>
                  <c:pt idx="6">
                    <c:v>GPT5.5</c:v>
                  </c:pt>
                  <c:pt idx="12">
                    <c:v>Opus4.8</c:v>
                  </c:pt>
                  <c:pt idx="18">
                    <c:v>RG</c:v>
                  </c:pt>
                </c:lvl>
              </c:multiLvlStrCache>
            </c:multiLvlStrRef>
          </c:cat>
          <c:val>
            <c:numRef>
              <c:f>'Dimension scores'!$B$6:$B$34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A-D149-BCB1-FDF8A76558C4}"/>
            </c:ext>
          </c:extLst>
        </c:ser>
        <c:ser>
          <c:idx val="1"/>
          <c:order val="1"/>
          <c:tx>
            <c:strRef>
              <c:f>'Dimension scores'!$C$4:$C$5</c:f>
              <c:strCache>
                <c:ptCount val="1"/>
                <c:pt idx="0">
                  <c:v>Codex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'Dimension scores'!$A$6:$A$34</c:f>
              <c:multiLvlStrCache>
                <c:ptCount val="24"/>
                <c:lvl>
                  <c:pt idx="0">
                    <c:v>Calibration &amp; Transparency</c:v>
                  </c:pt>
                  <c:pt idx="1">
                    <c:v>Coverage &amp; Comprehensiveness</c:v>
                  </c:pt>
                  <c:pt idx="2">
                    <c:v>Sludge-Analysis Quality</c:v>
                  </c:pt>
                  <c:pt idx="3">
                    <c:v>Source &amp; Citation Integrity</c:v>
                  </c:pt>
                  <c:pt idx="4">
                    <c:v>Structure &amp; Fitness</c:v>
                  </c:pt>
                  <c:pt idx="5">
                    <c:v>Substantive Accuracy &amp; Currency</c:v>
                  </c:pt>
                  <c:pt idx="6">
                    <c:v>Calibration &amp; Transparency</c:v>
                  </c:pt>
                  <c:pt idx="7">
                    <c:v>Coverage &amp; Comprehensiveness</c:v>
                  </c:pt>
                  <c:pt idx="8">
                    <c:v>Sludge-Analysis Quality</c:v>
                  </c:pt>
                  <c:pt idx="9">
                    <c:v>Source &amp; Citation Integrity</c:v>
                  </c:pt>
                  <c:pt idx="10">
                    <c:v>Structure &amp; Fitness</c:v>
                  </c:pt>
                  <c:pt idx="11">
                    <c:v>Substantive Accuracy &amp; Currency</c:v>
                  </c:pt>
                  <c:pt idx="12">
                    <c:v>Calibration &amp; Transparency</c:v>
                  </c:pt>
                  <c:pt idx="13">
                    <c:v>Coverage &amp; Comprehensiveness</c:v>
                  </c:pt>
                  <c:pt idx="14">
                    <c:v>Sludge-Analysis Quality</c:v>
                  </c:pt>
                  <c:pt idx="15">
                    <c:v>Source &amp; Citation Integrity</c:v>
                  </c:pt>
                  <c:pt idx="16">
                    <c:v>Structure &amp; Fitness</c:v>
                  </c:pt>
                  <c:pt idx="17">
                    <c:v>Substantive Accuracy &amp; Currency</c:v>
                  </c:pt>
                  <c:pt idx="18">
                    <c:v>Calibration &amp; Transparency</c:v>
                  </c:pt>
                  <c:pt idx="19">
                    <c:v>Coverage &amp; Comprehensiveness</c:v>
                  </c:pt>
                  <c:pt idx="20">
                    <c:v>Sludge-Analysis Quality</c:v>
                  </c:pt>
                  <c:pt idx="21">
                    <c:v>Source &amp; Citation Integrity</c:v>
                  </c:pt>
                  <c:pt idx="22">
                    <c:v>Structure &amp; Fitness</c:v>
                  </c:pt>
                  <c:pt idx="23">
                    <c:v>Substantive Accuracy &amp; Currency</c:v>
                  </c:pt>
                </c:lvl>
                <c:lvl>
                  <c:pt idx="0">
                    <c:v>Caffrey</c:v>
                  </c:pt>
                  <c:pt idx="6">
                    <c:v>GPT5.5</c:v>
                  </c:pt>
                  <c:pt idx="12">
                    <c:v>Opus4.8</c:v>
                  </c:pt>
                  <c:pt idx="18">
                    <c:v>RG</c:v>
                  </c:pt>
                </c:lvl>
              </c:multiLvlStrCache>
            </c:multiLvlStrRef>
          </c:cat>
          <c:val>
            <c:numRef>
              <c:f>'Dimension scores'!$C$6:$C$34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34AA-D149-BCB1-FDF8A76558C4}"/>
            </c:ext>
          </c:extLst>
        </c:ser>
        <c:ser>
          <c:idx val="2"/>
          <c:order val="2"/>
          <c:tx>
            <c:strRef>
              <c:f>'Dimension scores'!$D$4:$D$5</c:f>
              <c:strCache>
                <c:ptCount val="1"/>
                <c:pt idx="0">
                  <c:v>Gemma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'Dimension scores'!$A$6:$A$34</c:f>
              <c:multiLvlStrCache>
                <c:ptCount val="24"/>
                <c:lvl>
                  <c:pt idx="0">
                    <c:v>Calibration &amp; Transparency</c:v>
                  </c:pt>
                  <c:pt idx="1">
                    <c:v>Coverage &amp; Comprehensiveness</c:v>
                  </c:pt>
                  <c:pt idx="2">
                    <c:v>Sludge-Analysis Quality</c:v>
                  </c:pt>
                  <c:pt idx="3">
                    <c:v>Source &amp; Citation Integrity</c:v>
                  </c:pt>
                  <c:pt idx="4">
                    <c:v>Structure &amp; Fitness</c:v>
                  </c:pt>
                  <c:pt idx="5">
                    <c:v>Substantive Accuracy &amp; Currency</c:v>
                  </c:pt>
                  <c:pt idx="6">
                    <c:v>Calibration &amp; Transparency</c:v>
                  </c:pt>
                  <c:pt idx="7">
                    <c:v>Coverage &amp; Comprehensiveness</c:v>
                  </c:pt>
                  <c:pt idx="8">
                    <c:v>Sludge-Analysis Quality</c:v>
                  </c:pt>
                  <c:pt idx="9">
                    <c:v>Source &amp; Citation Integrity</c:v>
                  </c:pt>
                  <c:pt idx="10">
                    <c:v>Structure &amp; Fitness</c:v>
                  </c:pt>
                  <c:pt idx="11">
                    <c:v>Substantive Accuracy &amp; Currency</c:v>
                  </c:pt>
                  <c:pt idx="12">
                    <c:v>Calibration &amp; Transparency</c:v>
                  </c:pt>
                  <c:pt idx="13">
                    <c:v>Coverage &amp; Comprehensiveness</c:v>
                  </c:pt>
                  <c:pt idx="14">
                    <c:v>Sludge-Analysis Quality</c:v>
                  </c:pt>
                  <c:pt idx="15">
                    <c:v>Source &amp; Citation Integrity</c:v>
                  </c:pt>
                  <c:pt idx="16">
                    <c:v>Structure &amp; Fitness</c:v>
                  </c:pt>
                  <c:pt idx="17">
                    <c:v>Substantive Accuracy &amp; Currency</c:v>
                  </c:pt>
                  <c:pt idx="18">
                    <c:v>Calibration &amp; Transparency</c:v>
                  </c:pt>
                  <c:pt idx="19">
                    <c:v>Coverage &amp; Comprehensiveness</c:v>
                  </c:pt>
                  <c:pt idx="20">
                    <c:v>Sludge-Analysis Quality</c:v>
                  </c:pt>
                  <c:pt idx="21">
                    <c:v>Source &amp; Citation Integrity</c:v>
                  </c:pt>
                  <c:pt idx="22">
                    <c:v>Structure &amp; Fitness</c:v>
                  </c:pt>
                  <c:pt idx="23">
                    <c:v>Substantive Accuracy &amp; Currency</c:v>
                  </c:pt>
                </c:lvl>
                <c:lvl>
                  <c:pt idx="0">
                    <c:v>Caffrey</c:v>
                  </c:pt>
                  <c:pt idx="6">
                    <c:v>GPT5.5</c:v>
                  </c:pt>
                  <c:pt idx="12">
                    <c:v>Opus4.8</c:v>
                  </c:pt>
                  <c:pt idx="18">
                    <c:v>RG</c:v>
                  </c:pt>
                </c:lvl>
              </c:multiLvlStrCache>
            </c:multiLvlStrRef>
          </c:cat>
          <c:val>
            <c:numRef>
              <c:f>'Dimension scores'!$D$6:$D$34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34AA-D149-BCB1-FDF8A765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159871"/>
        <c:axId val="799649151"/>
      </c:barChart>
      <c:catAx>
        <c:axId val="79915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649151"/>
        <c:crosses val="autoZero"/>
        <c:auto val="1"/>
        <c:lblAlgn val="ctr"/>
        <c:lblOffset val="100"/>
        <c:noMultiLvlLbl val="0"/>
      </c:catAx>
      <c:valAx>
        <c:axId val="79964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5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9</xdr:row>
      <xdr:rowOff>12700</xdr:rowOff>
    </xdr:from>
    <xdr:to>
      <xdr:col>6</xdr:col>
      <xdr:colOff>812800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E0A2A-F226-7AB4-A3C5-BE6BD6277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431799</xdr:colOff>
      <xdr:row>33</xdr:row>
      <xdr:rowOff>148166</xdr:rowOff>
    </xdr:from>
    <xdr:to>
      <xdr:col>13</xdr:col>
      <xdr:colOff>393700</xdr:colOff>
      <xdr:row>64</xdr:row>
      <xdr:rowOff>148166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1D422-A30C-92F0-217B-CF94F2BEB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su" refreshedDate="46171.80260451389" createdVersion="8" refreshedVersion="8" minRefreshableVersion="3" recordCount="84" xr:uid="{AD8E6AB3-4E2E-7443-93DA-C87A7FBC537E}">
  <cacheSource type="worksheet">
    <worksheetSource name="ScoreData"/>
  </cacheSource>
  <cacheFields count="5">
    <cacheField name="Judge" numFmtId="0">
      <sharedItems count="3">
        <s v="Claude"/>
        <s v="Codex"/>
        <s v="Gemma"/>
      </sharedItems>
    </cacheField>
    <cacheField name="Report" numFmtId="0">
      <sharedItems count="4">
        <s v="Report A"/>
        <s v="Report B"/>
        <s v="Report C"/>
        <s v="Report D"/>
      </sharedItems>
    </cacheField>
    <cacheField name="Dimension" numFmtId="0">
      <sharedItems/>
    </cacheField>
    <cacheField name="Dimension Label" numFmtId="0">
      <sharedItems count="7">
        <s v="Coverage &amp; Comprehensiveness"/>
        <s v="Source &amp; Citation Integrity"/>
        <s v="Substantive Accuracy &amp; Currency"/>
        <s v="Sludge-Analysis Quality"/>
        <s v="Structure &amp; Fitness"/>
        <s v="Calibration &amp; Transparency"/>
        <s v="Weighted Overall (/100)"/>
      </sharedItems>
    </cacheField>
    <cacheField name="Score" numFmtId="0">
      <sharedItems containsSemiMixedTypes="0" containsString="0" containsNumber="1" containsInteger="1" minValue="0" maxValue="100" count="15">
        <n v="3"/>
        <n v="2"/>
        <n v="4"/>
        <n v="1"/>
        <n v="76"/>
        <n v="83"/>
        <n v="85"/>
        <n v="30"/>
        <n v="0"/>
        <n v="81"/>
        <n v="69"/>
        <n v="14"/>
        <n v="94"/>
        <n v="100"/>
        <n v="3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s v="D1"/>
    <x v="0"/>
    <x v="0"/>
  </r>
  <r>
    <x v="0"/>
    <x v="1"/>
    <s v="D1"/>
    <x v="0"/>
    <x v="0"/>
  </r>
  <r>
    <x v="0"/>
    <x v="2"/>
    <s v="D1"/>
    <x v="0"/>
    <x v="0"/>
  </r>
  <r>
    <x v="0"/>
    <x v="3"/>
    <s v="D1"/>
    <x v="0"/>
    <x v="1"/>
  </r>
  <r>
    <x v="0"/>
    <x v="0"/>
    <s v="D2"/>
    <x v="1"/>
    <x v="0"/>
  </r>
  <r>
    <x v="0"/>
    <x v="1"/>
    <s v="D2"/>
    <x v="1"/>
    <x v="2"/>
  </r>
  <r>
    <x v="0"/>
    <x v="2"/>
    <s v="D2"/>
    <x v="1"/>
    <x v="2"/>
  </r>
  <r>
    <x v="0"/>
    <x v="3"/>
    <s v="D2"/>
    <x v="1"/>
    <x v="3"/>
  </r>
  <r>
    <x v="0"/>
    <x v="0"/>
    <s v="D3"/>
    <x v="2"/>
    <x v="2"/>
  </r>
  <r>
    <x v="0"/>
    <x v="1"/>
    <s v="D3"/>
    <x v="2"/>
    <x v="2"/>
  </r>
  <r>
    <x v="0"/>
    <x v="2"/>
    <s v="D3"/>
    <x v="2"/>
    <x v="2"/>
  </r>
  <r>
    <x v="0"/>
    <x v="3"/>
    <s v="D3"/>
    <x v="2"/>
    <x v="1"/>
  </r>
  <r>
    <x v="0"/>
    <x v="0"/>
    <s v="D4"/>
    <x v="3"/>
    <x v="2"/>
  </r>
  <r>
    <x v="0"/>
    <x v="1"/>
    <s v="D4"/>
    <x v="3"/>
    <x v="2"/>
  </r>
  <r>
    <x v="0"/>
    <x v="2"/>
    <s v="D4"/>
    <x v="3"/>
    <x v="2"/>
  </r>
  <r>
    <x v="0"/>
    <x v="3"/>
    <s v="D4"/>
    <x v="3"/>
    <x v="3"/>
  </r>
  <r>
    <x v="0"/>
    <x v="0"/>
    <s v="D5"/>
    <x v="4"/>
    <x v="0"/>
  </r>
  <r>
    <x v="0"/>
    <x v="1"/>
    <s v="D5"/>
    <x v="4"/>
    <x v="0"/>
  </r>
  <r>
    <x v="0"/>
    <x v="2"/>
    <s v="D5"/>
    <x v="4"/>
    <x v="2"/>
  </r>
  <r>
    <x v="0"/>
    <x v="3"/>
    <s v="D5"/>
    <x v="4"/>
    <x v="3"/>
  </r>
  <r>
    <x v="0"/>
    <x v="0"/>
    <s v="D6"/>
    <x v="5"/>
    <x v="2"/>
  </r>
  <r>
    <x v="0"/>
    <x v="1"/>
    <s v="D6"/>
    <x v="5"/>
    <x v="2"/>
  </r>
  <r>
    <x v="0"/>
    <x v="2"/>
    <s v="D6"/>
    <x v="5"/>
    <x v="2"/>
  </r>
  <r>
    <x v="0"/>
    <x v="3"/>
    <s v="D6"/>
    <x v="5"/>
    <x v="3"/>
  </r>
  <r>
    <x v="0"/>
    <x v="0"/>
    <s v="Weighted Overall"/>
    <x v="6"/>
    <x v="4"/>
  </r>
  <r>
    <x v="0"/>
    <x v="1"/>
    <s v="Weighted Overall"/>
    <x v="6"/>
    <x v="5"/>
  </r>
  <r>
    <x v="0"/>
    <x v="2"/>
    <s v="Weighted Overall"/>
    <x v="6"/>
    <x v="6"/>
  </r>
  <r>
    <x v="0"/>
    <x v="3"/>
    <s v="Weighted Overall"/>
    <x v="6"/>
    <x v="7"/>
  </r>
  <r>
    <x v="1"/>
    <x v="0"/>
    <s v="D1"/>
    <x v="0"/>
    <x v="1"/>
  </r>
  <r>
    <x v="1"/>
    <x v="1"/>
    <s v="D1"/>
    <x v="0"/>
    <x v="0"/>
  </r>
  <r>
    <x v="1"/>
    <x v="2"/>
    <s v="D1"/>
    <x v="0"/>
    <x v="0"/>
  </r>
  <r>
    <x v="1"/>
    <x v="3"/>
    <s v="D1"/>
    <x v="0"/>
    <x v="3"/>
  </r>
  <r>
    <x v="1"/>
    <x v="0"/>
    <s v="D2"/>
    <x v="1"/>
    <x v="1"/>
  </r>
  <r>
    <x v="1"/>
    <x v="1"/>
    <s v="D2"/>
    <x v="1"/>
    <x v="0"/>
  </r>
  <r>
    <x v="1"/>
    <x v="2"/>
    <s v="D2"/>
    <x v="1"/>
    <x v="0"/>
  </r>
  <r>
    <x v="1"/>
    <x v="3"/>
    <s v="D2"/>
    <x v="1"/>
    <x v="3"/>
  </r>
  <r>
    <x v="1"/>
    <x v="0"/>
    <s v="D3"/>
    <x v="2"/>
    <x v="1"/>
  </r>
  <r>
    <x v="1"/>
    <x v="1"/>
    <s v="D3"/>
    <x v="2"/>
    <x v="0"/>
  </r>
  <r>
    <x v="1"/>
    <x v="2"/>
    <s v="D3"/>
    <x v="2"/>
    <x v="0"/>
  </r>
  <r>
    <x v="1"/>
    <x v="3"/>
    <s v="D3"/>
    <x v="2"/>
    <x v="3"/>
  </r>
  <r>
    <x v="1"/>
    <x v="0"/>
    <s v="D4"/>
    <x v="3"/>
    <x v="0"/>
  </r>
  <r>
    <x v="1"/>
    <x v="1"/>
    <s v="D4"/>
    <x v="3"/>
    <x v="2"/>
  </r>
  <r>
    <x v="1"/>
    <x v="2"/>
    <s v="D4"/>
    <x v="3"/>
    <x v="2"/>
  </r>
  <r>
    <x v="1"/>
    <x v="3"/>
    <s v="D4"/>
    <x v="3"/>
    <x v="8"/>
  </r>
  <r>
    <x v="1"/>
    <x v="0"/>
    <s v="D5"/>
    <x v="4"/>
    <x v="1"/>
  </r>
  <r>
    <x v="1"/>
    <x v="1"/>
    <s v="D5"/>
    <x v="4"/>
    <x v="0"/>
  </r>
  <r>
    <x v="1"/>
    <x v="2"/>
    <s v="D5"/>
    <x v="4"/>
    <x v="2"/>
  </r>
  <r>
    <x v="1"/>
    <x v="3"/>
    <s v="D5"/>
    <x v="4"/>
    <x v="3"/>
  </r>
  <r>
    <x v="1"/>
    <x v="0"/>
    <s v="D6"/>
    <x v="5"/>
    <x v="1"/>
  </r>
  <r>
    <x v="1"/>
    <x v="1"/>
    <s v="D6"/>
    <x v="5"/>
    <x v="2"/>
  </r>
  <r>
    <x v="1"/>
    <x v="2"/>
    <s v="D6"/>
    <x v="5"/>
    <x v="2"/>
  </r>
  <r>
    <x v="1"/>
    <x v="3"/>
    <s v="D6"/>
    <x v="5"/>
    <x v="8"/>
  </r>
  <r>
    <x v="1"/>
    <x v="0"/>
    <s v="Weighted Overall"/>
    <x v="6"/>
    <x v="7"/>
  </r>
  <r>
    <x v="1"/>
    <x v="1"/>
    <s v="Weighted Overall"/>
    <x v="6"/>
    <x v="9"/>
  </r>
  <r>
    <x v="1"/>
    <x v="2"/>
    <s v="Weighted Overall"/>
    <x v="6"/>
    <x v="10"/>
  </r>
  <r>
    <x v="1"/>
    <x v="3"/>
    <s v="Weighted Overall"/>
    <x v="6"/>
    <x v="11"/>
  </r>
  <r>
    <x v="2"/>
    <x v="0"/>
    <s v="D1"/>
    <x v="0"/>
    <x v="2"/>
  </r>
  <r>
    <x v="2"/>
    <x v="1"/>
    <s v="D1"/>
    <x v="0"/>
    <x v="2"/>
  </r>
  <r>
    <x v="2"/>
    <x v="2"/>
    <s v="D1"/>
    <x v="0"/>
    <x v="2"/>
  </r>
  <r>
    <x v="2"/>
    <x v="3"/>
    <s v="D1"/>
    <x v="0"/>
    <x v="0"/>
  </r>
  <r>
    <x v="2"/>
    <x v="0"/>
    <s v="D2"/>
    <x v="1"/>
    <x v="0"/>
  </r>
  <r>
    <x v="2"/>
    <x v="1"/>
    <s v="D2"/>
    <x v="1"/>
    <x v="2"/>
  </r>
  <r>
    <x v="2"/>
    <x v="2"/>
    <s v="D2"/>
    <x v="1"/>
    <x v="2"/>
  </r>
  <r>
    <x v="2"/>
    <x v="3"/>
    <s v="D2"/>
    <x v="1"/>
    <x v="8"/>
  </r>
  <r>
    <x v="2"/>
    <x v="0"/>
    <s v="D3"/>
    <x v="2"/>
    <x v="2"/>
  </r>
  <r>
    <x v="2"/>
    <x v="1"/>
    <s v="D3"/>
    <x v="2"/>
    <x v="2"/>
  </r>
  <r>
    <x v="2"/>
    <x v="2"/>
    <s v="D3"/>
    <x v="2"/>
    <x v="2"/>
  </r>
  <r>
    <x v="2"/>
    <x v="3"/>
    <s v="D3"/>
    <x v="2"/>
    <x v="1"/>
  </r>
  <r>
    <x v="2"/>
    <x v="0"/>
    <s v="D4"/>
    <x v="3"/>
    <x v="2"/>
  </r>
  <r>
    <x v="2"/>
    <x v="1"/>
    <s v="D4"/>
    <x v="3"/>
    <x v="2"/>
  </r>
  <r>
    <x v="2"/>
    <x v="2"/>
    <s v="D4"/>
    <x v="3"/>
    <x v="2"/>
  </r>
  <r>
    <x v="2"/>
    <x v="3"/>
    <s v="D4"/>
    <x v="3"/>
    <x v="3"/>
  </r>
  <r>
    <x v="2"/>
    <x v="0"/>
    <s v="D5"/>
    <x v="4"/>
    <x v="2"/>
  </r>
  <r>
    <x v="2"/>
    <x v="1"/>
    <s v="D5"/>
    <x v="4"/>
    <x v="2"/>
  </r>
  <r>
    <x v="2"/>
    <x v="2"/>
    <s v="D5"/>
    <x v="4"/>
    <x v="2"/>
  </r>
  <r>
    <x v="2"/>
    <x v="3"/>
    <s v="D5"/>
    <x v="4"/>
    <x v="1"/>
  </r>
  <r>
    <x v="2"/>
    <x v="0"/>
    <s v="D6"/>
    <x v="5"/>
    <x v="2"/>
  </r>
  <r>
    <x v="2"/>
    <x v="1"/>
    <s v="D6"/>
    <x v="5"/>
    <x v="2"/>
  </r>
  <r>
    <x v="2"/>
    <x v="2"/>
    <s v="D6"/>
    <x v="5"/>
    <x v="2"/>
  </r>
  <r>
    <x v="2"/>
    <x v="3"/>
    <s v="D6"/>
    <x v="5"/>
    <x v="3"/>
  </r>
  <r>
    <x v="2"/>
    <x v="0"/>
    <s v="Weighted Overall"/>
    <x v="6"/>
    <x v="12"/>
  </r>
  <r>
    <x v="2"/>
    <x v="1"/>
    <s v="Weighted Overall"/>
    <x v="6"/>
    <x v="6"/>
  </r>
  <r>
    <x v="2"/>
    <x v="2"/>
    <s v="Weighted Overall"/>
    <x v="6"/>
    <x v="13"/>
  </r>
  <r>
    <x v="2"/>
    <x v="3"/>
    <s v="Weighted Overall"/>
    <x v="6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ED797-478C-7E45-91DA-D9893620788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8" firstHeaderRow="1" firstDataRow="2" firstDataCol="1" rowPageCount="1" colPageCount="1"/>
  <pivotFields count="5">
    <pivotField axis="axisRow" showAll="0">
      <items count="4">
        <item n="ClaudeJudge" x="0"/>
        <item n="CodexJudge" x="1"/>
        <item n="GemmaJudge" x="2"/>
        <item t="default"/>
      </items>
    </pivotField>
    <pivotField axis="axisCol" showAll="0">
      <items count="5">
        <item n="Caffrey" x="0"/>
        <item n="GPT5.5" x="1"/>
        <item n="Opus4.8" x="2"/>
        <item n="RG" x="3"/>
        <item t="default"/>
      </items>
    </pivotField>
    <pivotField showAll="0"/>
    <pivotField axis="axisPage" multipleItemSelectionAllowed="1" showAll="0">
      <items count="8">
        <item h="1" x="5"/>
        <item h="1" x="0"/>
        <item h="1" x="3"/>
        <item h="1" x="1"/>
        <item h="1" x="4"/>
        <item h="1" x="2"/>
        <item x="6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 of Score" fld="4" baseField="0" baseItem="0"/>
  </dataField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6B747-FAA1-FE43-A4E4-7F20EE65F2A3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34" firstHeaderRow="1" firstDataRow="2" firstDataCol="1"/>
  <pivotFields count="5">
    <pivotField axis="axisCol" multipleItemSelectionAllowed="1" showAll="0">
      <items count="4">
        <item x="0"/>
        <item x="1"/>
        <item x="2"/>
        <item t="default"/>
      </items>
    </pivotField>
    <pivotField axis="axisRow" showAll="0">
      <items count="5">
        <item n="Caffrey" x="0"/>
        <item n="GPT5.5" x="1"/>
        <item n="Opus4.8" x="2"/>
        <item n="RG" x="3"/>
        <item t="default"/>
      </items>
    </pivotField>
    <pivotField showAll="0"/>
    <pivotField axis="axisRow" multipleItemSelectionAllowed="1" showAll="0">
      <items count="8">
        <item x="5"/>
        <item x="0"/>
        <item x="3"/>
        <item x="1"/>
        <item x="4"/>
        <item x="2"/>
        <item h="1" x="6"/>
        <item t="default"/>
      </items>
    </pivotField>
    <pivotField dataField="1" showAll="0">
      <items count="16">
        <item x="8"/>
        <item x="3"/>
        <item x="1"/>
        <item x="0"/>
        <item x="2"/>
        <item x="11"/>
        <item x="7"/>
        <item x="14"/>
        <item x="10"/>
        <item x="4"/>
        <item x="9"/>
        <item x="5"/>
        <item x="6"/>
        <item x="12"/>
        <item x="13"/>
        <item t="default"/>
      </items>
    </pivotField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Score" fld="4" baseField="0" baseItem="0"/>
  </dataFields>
  <chartFormats count="30"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2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2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3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3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3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3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4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4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4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4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5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5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5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5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866A7-9513-214D-83C6-B911F3944FA4}" name="ScoreData" displayName="ScoreData" ref="A1:E85" totalsRowShown="0">
  <autoFilter ref="A1:E85" xr:uid="{687866A7-9513-214D-83C6-B911F3944FA4}"/>
  <tableColumns count="5">
    <tableColumn id="1" xr3:uid="{0E490630-5F57-864F-A04D-C75198324225}" name="Judge"/>
    <tableColumn id="2" xr3:uid="{14A8F275-61F6-954F-94E7-F615AFBB08C2}" name="Report"/>
    <tableColumn id="3" xr3:uid="{8C6FA2E3-3BAB-5E47-A337-D60E80231767}" name="Dimension"/>
    <tableColumn id="4" xr3:uid="{41CF0D47-90DE-964F-BEE2-B9A8AB9F8C47}" name="Dimension Label"/>
    <tableColumn id="5" xr3:uid="{A9F08460-AAD8-8F45-BA94-F0FEF7913C2C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561882B-BA75-3B45-BDEF-E2E1BDCB870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5d5bfe1-160d-4c3f-ae9d-7eecbe826bd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6281CC5-881F-1847-A725-074F3156394D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641F-DB28-1C4F-9AFF-D52DE14D3942}">
  <dimension ref="A1:F8"/>
  <sheetViews>
    <sheetView workbookViewId="0">
      <selection activeCell="A8" sqref="A8"/>
    </sheetView>
  </sheetViews>
  <sheetFormatPr baseColWidth="10" defaultRowHeight="15" x14ac:dyDescent="0.2"/>
  <cols>
    <col min="1" max="1" width="13.6640625" bestFit="1" customWidth="1"/>
    <col min="2" max="2" width="21.83203125" bestFit="1" customWidth="1"/>
    <col min="3" max="4" width="7.83203125" bestFit="1" customWidth="1"/>
    <col min="5" max="5" width="8" bestFit="1" customWidth="1"/>
    <col min="6" max="6" width="10" bestFit="1" customWidth="1"/>
  </cols>
  <sheetData>
    <row r="1" spans="1:6" x14ac:dyDescent="0.2">
      <c r="A1" s="29" t="s">
        <v>57</v>
      </c>
      <c r="B1" t="s">
        <v>55</v>
      </c>
    </row>
    <row r="3" spans="1:6" x14ac:dyDescent="0.2">
      <c r="A3" s="29" t="s">
        <v>75</v>
      </c>
      <c r="B3" s="29" t="s">
        <v>74</v>
      </c>
    </row>
    <row r="4" spans="1:6" x14ac:dyDescent="0.2">
      <c r="A4" s="29" t="s">
        <v>72</v>
      </c>
      <c r="B4" t="s">
        <v>76</v>
      </c>
      <c r="C4" t="s">
        <v>78</v>
      </c>
      <c r="D4" t="s">
        <v>79</v>
      </c>
      <c r="E4" t="s">
        <v>77</v>
      </c>
      <c r="F4" t="s">
        <v>73</v>
      </c>
    </row>
    <row r="5" spans="1:6" x14ac:dyDescent="0.2">
      <c r="A5" s="30" t="s">
        <v>80</v>
      </c>
      <c r="B5">
        <v>76</v>
      </c>
      <c r="C5">
        <v>83</v>
      </c>
      <c r="D5">
        <v>85</v>
      </c>
      <c r="E5">
        <v>30</v>
      </c>
      <c r="F5">
        <v>274</v>
      </c>
    </row>
    <row r="6" spans="1:6" x14ac:dyDescent="0.2">
      <c r="A6" s="30" t="s">
        <v>81</v>
      </c>
      <c r="B6">
        <v>30</v>
      </c>
      <c r="C6">
        <v>81</v>
      </c>
      <c r="D6">
        <v>69</v>
      </c>
      <c r="E6">
        <v>14</v>
      </c>
      <c r="F6">
        <v>194</v>
      </c>
    </row>
    <row r="7" spans="1:6" x14ac:dyDescent="0.2">
      <c r="A7" s="30" t="s">
        <v>82</v>
      </c>
      <c r="B7">
        <v>94</v>
      </c>
      <c r="C7">
        <v>85</v>
      </c>
      <c r="D7">
        <v>100</v>
      </c>
      <c r="E7">
        <v>36</v>
      </c>
      <c r="F7">
        <v>315</v>
      </c>
    </row>
    <row r="8" spans="1:6" x14ac:dyDescent="0.2">
      <c r="A8" s="30" t="s">
        <v>73</v>
      </c>
      <c r="B8">
        <v>200</v>
      </c>
      <c r="C8">
        <v>249</v>
      </c>
      <c r="D8">
        <v>254</v>
      </c>
      <c r="E8">
        <v>80</v>
      </c>
      <c r="F8">
        <v>783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C56D-E138-E446-819F-A2C7B264E352}">
  <dimension ref="A4:E34"/>
  <sheetViews>
    <sheetView topLeftCell="A3" workbookViewId="0">
      <selection activeCell="B7" sqref="B7:D12"/>
    </sheetView>
  </sheetViews>
  <sheetFormatPr baseColWidth="10" defaultRowHeight="15" x14ac:dyDescent="0.2"/>
  <cols>
    <col min="1" max="1" width="30.1640625" bestFit="1" customWidth="1"/>
    <col min="2" max="2" width="14.83203125" bestFit="1" customWidth="1"/>
    <col min="3" max="3" width="6" bestFit="1" customWidth="1"/>
    <col min="4" max="4" width="7.1640625" bestFit="1" customWidth="1"/>
    <col min="5" max="6" width="10" bestFit="1" customWidth="1"/>
    <col min="7" max="7" width="27" bestFit="1" customWidth="1"/>
    <col min="8" max="8" width="10" bestFit="1" customWidth="1"/>
    <col min="9" max="9" width="22.1640625" bestFit="1" customWidth="1"/>
    <col min="10" max="10" width="26.1640625" bestFit="1" customWidth="1"/>
    <col min="11" max="11" width="19.1640625" bestFit="1" customWidth="1"/>
    <col min="12" max="12" width="22" bestFit="1" customWidth="1"/>
    <col min="13" max="13" width="15.83203125" bestFit="1" customWidth="1"/>
    <col min="14" max="14" width="27" bestFit="1" customWidth="1"/>
    <col min="15" max="15" width="10.83203125" bestFit="1" customWidth="1"/>
    <col min="16" max="16" width="22.1640625" bestFit="1" customWidth="1"/>
    <col min="17" max="17" width="26.1640625" bestFit="1" customWidth="1"/>
    <col min="18" max="18" width="19.1640625" bestFit="1" customWidth="1"/>
    <col min="19" max="19" width="22" bestFit="1" customWidth="1"/>
    <col min="20" max="20" width="15.83203125" bestFit="1" customWidth="1"/>
    <col min="21" max="21" width="27" bestFit="1" customWidth="1"/>
    <col min="22" max="22" width="11.6640625" bestFit="1" customWidth="1"/>
    <col min="23" max="23" width="22.1640625" bestFit="1" customWidth="1"/>
    <col min="24" max="24" width="26.1640625" bestFit="1" customWidth="1"/>
    <col min="25" max="25" width="19.1640625" bestFit="1" customWidth="1"/>
    <col min="26" max="26" width="22" bestFit="1" customWidth="1"/>
    <col min="27" max="27" width="15.83203125" bestFit="1" customWidth="1"/>
    <col min="28" max="28" width="27" bestFit="1" customWidth="1"/>
    <col min="29" max="29" width="7.5" bestFit="1" customWidth="1"/>
    <col min="30" max="30" width="10" bestFit="1" customWidth="1"/>
    <col min="31" max="31" width="31.1640625" bestFit="1" customWidth="1"/>
    <col min="32" max="32" width="10" bestFit="1" customWidth="1"/>
  </cols>
  <sheetData>
    <row r="4" spans="1:5" x14ac:dyDescent="0.2">
      <c r="A4" s="29" t="s">
        <v>75</v>
      </c>
      <c r="B4" s="29" t="s">
        <v>74</v>
      </c>
    </row>
    <row r="5" spans="1:5" x14ac:dyDescent="0.2">
      <c r="A5" s="29" t="s">
        <v>72</v>
      </c>
      <c r="B5" t="s">
        <v>46</v>
      </c>
      <c r="C5" t="s">
        <v>47</v>
      </c>
      <c r="D5" t="s">
        <v>48</v>
      </c>
      <c r="E5" t="s">
        <v>73</v>
      </c>
    </row>
    <row r="6" spans="1:5" x14ac:dyDescent="0.2">
      <c r="A6" s="30" t="s">
        <v>76</v>
      </c>
      <c r="B6">
        <v>21</v>
      </c>
      <c r="C6">
        <v>13</v>
      </c>
      <c r="D6">
        <v>23</v>
      </c>
      <c r="E6">
        <v>57</v>
      </c>
    </row>
    <row r="7" spans="1:5" x14ac:dyDescent="0.2">
      <c r="A7" s="31" t="s">
        <v>70</v>
      </c>
      <c r="B7">
        <v>4</v>
      </c>
      <c r="C7">
        <v>2</v>
      </c>
      <c r="D7">
        <v>4</v>
      </c>
      <c r="E7">
        <v>10</v>
      </c>
    </row>
    <row r="8" spans="1:5" x14ac:dyDescent="0.2">
      <c r="A8" s="31" t="s">
        <v>60</v>
      </c>
      <c r="B8">
        <v>3</v>
      </c>
      <c r="C8">
        <v>2</v>
      </c>
      <c r="D8">
        <v>4</v>
      </c>
      <c r="E8">
        <v>9</v>
      </c>
    </row>
    <row r="9" spans="1:5" x14ac:dyDescent="0.2">
      <c r="A9" s="31" t="s">
        <v>66</v>
      </c>
      <c r="B9">
        <v>4</v>
      </c>
      <c r="C9">
        <v>3</v>
      </c>
      <c r="D9">
        <v>4</v>
      </c>
      <c r="E9">
        <v>11</v>
      </c>
    </row>
    <row r="10" spans="1:5" x14ac:dyDescent="0.2">
      <c r="A10" s="31" t="s">
        <v>62</v>
      </c>
      <c r="B10">
        <v>3</v>
      </c>
      <c r="C10">
        <v>2</v>
      </c>
      <c r="D10">
        <v>3</v>
      </c>
      <c r="E10">
        <v>8</v>
      </c>
    </row>
    <row r="11" spans="1:5" x14ac:dyDescent="0.2">
      <c r="A11" s="31" t="s">
        <v>68</v>
      </c>
      <c r="B11">
        <v>3</v>
      </c>
      <c r="C11">
        <v>2</v>
      </c>
      <c r="D11">
        <v>4</v>
      </c>
      <c r="E11">
        <v>9</v>
      </c>
    </row>
    <row r="12" spans="1:5" x14ac:dyDescent="0.2">
      <c r="A12" s="31" t="s">
        <v>64</v>
      </c>
      <c r="B12">
        <v>4</v>
      </c>
      <c r="C12">
        <v>2</v>
      </c>
      <c r="D12">
        <v>4</v>
      </c>
      <c r="E12">
        <v>10</v>
      </c>
    </row>
    <row r="13" spans="1:5" x14ac:dyDescent="0.2">
      <c r="A13" s="30" t="s">
        <v>78</v>
      </c>
      <c r="B13">
        <v>22</v>
      </c>
      <c r="C13">
        <v>20</v>
      </c>
      <c r="D13">
        <v>24</v>
      </c>
      <c r="E13">
        <v>66</v>
      </c>
    </row>
    <row r="14" spans="1:5" x14ac:dyDescent="0.2">
      <c r="A14" s="31" t="s">
        <v>70</v>
      </c>
      <c r="B14">
        <v>4</v>
      </c>
      <c r="C14">
        <v>4</v>
      </c>
      <c r="D14">
        <v>4</v>
      </c>
      <c r="E14">
        <v>12</v>
      </c>
    </row>
    <row r="15" spans="1:5" x14ac:dyDescent="0.2">
      <c r="A15" s="31" t="s">
        <v>60</v>
      </c>
      <c r="B15">
        <v>3</v>
      </c>
      <c r="C15">
        <v>3</v>
      </c>
      <c r="D15">
        <v>4</v>
      </c>
      <c r="E15">
        <v>10</v>
      </c>
    </row>
    <row r="16" spans="1:5" x14ac:dyDescent="0.2">
      <c r="A16" s="31" t="s">
        <v>66</v>
      </c>
      <c r="B16">
        <v>4</v>
      </c>
      <c r="C16">
        <v>4</v>
      </c>
      <c r="D16">
        <v>4</v>
      </c>
      <c r="E16">
        <v>12</v>
      </c>
    </row>
    <row r="17" spans="1:5" x14ac:dyDescent="0.2">
      <c r="A17" s="31" t="s">
        <v>62</v>
      </c>
      <c r="B17">
        <v>4</v>
      </c>
      <c r="C17">
        <v>3</v>
      </c>
      <c r="D17">
        <v>4</v>
      </c>
      <c r="E17">
        <v>11</v>
      </c>
    </row>
    <row r="18" spans="1:5" x14ac:dyDescent="0.2">
      <c r="A18" s="31" t="s">
        <v>68</v>
      </c>
      <c r="B18">
        <v>3</v>
      </c>
      <c r="C18">
        <v>3</v>
      </c>
      <c r="D18">
        <v>4</v>
      </c>
      <c r="E18">
        <v>10</v>
      </c>
    </row>
    <row r="19" spans="1:5" x14ac:dyDescent="0.2">
      <c r="A19" s="31" t="s">
        <v>64</v>
      </c>
      <c r="B19">
        <v>4</v>
      </c>
      <c r="C19">
        <v>3</v>
      </c>
      <c r="D19">
        <v>4</v>
      </c>
      <c r="E19">
        <v>11</v>
      </c>
    </row>
    <row r="20" spans="1:5" x14ac:dyDescent="0.2">
      <c r="A20" s="30" t="s">
        <v>79</v>
      </c>
      <c r="B20">
        <v>23</v>
      </c>
      <c r="C20">
        <v>21</v>
      </c>
      <c r="D20">
        <v>24</v>
      </c>
      <c r="E20">
        <v>68</v>
      </c>
    </row>
    <row r="21" spans="1:5" x14ac:dyDescent="0.2">
      <c r="A21" s="31" t="s">
        <v>70</v>
      </c>
      <c r="B21">
        <v>4</v>
      </c>
      <c r="C21">
        <v>4</v>
      </c>
      <c r="D21">
        <v>4</v>
      </c>
      <c r="E21">
        <v>12</v>
      </c>
    </row>
    <row r="22" spans="1:5" x14ac:dyDescent="0.2">
      <c r="A22" s="31" t="s">
        <v>60</v>
      </c>
      <c r="B22">
        <v>3</v>
      </c>
      <c r="C22">
        <v>3</v>
      </c>
      <c r="D22">
        <v>4</v>
      </c>
      <c r="E22">
        <v>10</v>
      </c>
    </row>
    <row r="23" spans="1:5" x14ac:dyDescent="0.2">
      <c r="A23" s="31" t="s">
        <v>66</v>
      </c>
      <c r="B23">
        <v>4</v>
      </c>
      <c r="C23">
        <v>4</v>
      </c>
      <c r="D23">
        <v>4</v>
      </c>
      <c r="E23">
        <v>12</v>
      </c>
    </row>
    <row r="24" spans="1:5" x14ac:dyDescent="0.2">
      <c r="A24" s="31" t="s">
        <v>62</v>
      </c>
      <c r="B24">
        <v>4</v>
      </c>
      <c r="C24">
        <v>3</v>
      </c>
      <c r="D24">
        <v>4</v>
      </c>
      <c r="E24">
        <v>11</v>
      </c>
    </row>
    <row r="25" spans="1:5" x14ac:dyDescent="0.2">
      <c r="A25" s="31" t="s">
        <v>68</v>
      </c>
      <c r="B25">
        <v>4</v>
      </c>
      <c r="C25">
        <v>4</v>
      </c>
      <c r="D25">
        <v>4</v>
      </c>
      <c r="E25">
        <v>12</v>
      </c>
    </row>
    <row r="26" spans="1:5" x14ac:dyDescent="0.2">
      <c r="A26" s="31" t="s">
        <v>64</v>
      </c>
      <c r="B26">
        <v>4</v>
      </c>
      <c r="C26">
        <v>3</v>
      </c>
      <c r="D26">
        <v>4</v>
      </c>
      <c r="E26">
        <v>11</v>
      </c>
    </row>
    <row r="27" spans="1:5" x14ac:dyDescent="0.2">
      <c r="A27" s="30" t="s">
        <v>77</v>
      </c>
      <c r="B27">
        <v>8</v>
      </c>
      <c r="C27">
        <v>4</v>
      </c>
      <c r="D27">
        <v>9</v>
      </c>
      <c r="E27">
        <v>21</v>
      </c>
    </row>
    <row r="28" spans="1:5" x14ac:dyDescent="0.2">
      <c r="A28" s="31" t="s">
        <v>70</v>
      </c>
      <c r="B28">
        <v>1</v>
      </c>
      <c r="C28">
        <v>0</v>
      </c>
      <c r="D28">
        <v>1</v>
      </c>
      <c r="E28">
        <v>2</v>
      </c>
    </row>
    <row r="29" spans="1:5" x14ac:dyDescent="0.2">
      <c r="A29" s="31" t="s">
        <v>60</v>
      </c>
      <c r="B29">
        <v>2</v>
      </c>
      <c r="C29">
        <v>1</v>
      </c>
      <c r="D29">
        <v>3</v>
      </c>
      <c r="E29">
        <v>6</v>
      </c>
    </row>
    <row r="30" spans="1:5" x14ac:dyDescent="0.2">
      <c r="A30" s="31" t="s">
        <v>66</v>
      </c>
      <c r="B30">
        <v>1</v>
      </c>
      <c r="C30">
        <v>0</v>
      </c>
      <c r="D30">
        <v>1</v>
      </c>
      <c r="E30">
        <v>2</v>
      </c>
    </row>
    <row r="31" spans="1:5" x14ac:dyDescent="0.2">
      <c r="A31" s="31" t="s">
        <v>62</v>
      </c>
      <c r="B31">
        <v>1</v>
      </c>
      <c r="C31">
        <v>1</v>
      </c>
      <c r="D31">
        <v>0</v>
      </c>
      <c r="E31">
        <v>2</v>
      </c>
    </row>
    <row r="32" spans="1:5" x14ac:dyDescent="0.2">
      <c r="A32" s="31" t="s">
        <v>68</v>
      </c>
      <c r="B32">
        <v>1</v>
      </c>
      <c r="C32">
        <v>1</v>
      </c>
      <c r="D32">
        <v>2</v>
      </c>
      <c r="E32">
        <v>4</v>
      </c>
    </row>
    <row r="33" spans="1:5" x14ac:dyDescent="0.2">
      <c r="A33" s="31" t="s">
        <v>64</v>
      </c>
      <c r="B33">
        <v>2</v>
      </c>
      <c r="C33">
        <v>1</v>
      </c>
      <c r="D33">
        <v>2</v>
      </c>
      <c r="E33">
        <v>5</v>
      </c>
    </row>
    <row r="34" spans="1:5" x14ac:dyDescent="0.2">
      <c r="A34" s="30" t="s">
        <v>73</v>
      </c>
      <c r="B34">
        <v>74</v>
      </c>
      <c r="C34">
        <v>58</v>
      </c>
      <c r="D34">
        <v>80</v>
      </c>
      <c r="E34">
        <v>212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4C2B-0219-4041-871A-BDF2826BCE75}">
  <dimension ref="A1:F31"/>
  <sheetViews>
    <sheetView workbookViewId="0">
      <selection activeCell="C4" sqref="C4"/>
    </sheetView>
  </sheetViews>
  <sheetFormatPr baseColWidth="10" defaultRowHeight="15" x14ac:dyDescent="0.2"/>
  <cols>
    <col min="1" max="1" width="35" customWidth="1"/>
    <col min="2" max="2" width="12.5" customWidth="1"/>
    <col min="3" max="6" width="14.1640625" customWidth="1"/>
  </cols>
  <sheetData>
    <row r="1" spans="1:6" ht="19" x14ac:dyDescent="0.25">
      <c r="A1" s="12" t="s">
        <v>42</v>
      </c>
    </row>
    <row r="3" spans="1:6" x14ac:dyDescent="0.2">
      <c r="A3" s="13" t="s">
        <v>43</v>
      </c>
      <c r="B3" s="13" t="s">
        <v>44</v>
      </c>
      <c r="C3" s="14" t="s">
        <v>76</v>
      </c>
      <c r="D3" s="14" t="s">
        <v>78</v>
      </c>
      <c r="E3" s="14" t="s">
        <v>79</v>
      </c>
      <c r="F3" s="14" t="s">
        <v>77</v>
      </c>
    </row>
    <row r="4" spans="1:6" x14ac:dyDescent="0.2">
      <c r="A4" s="34" t="s">
        <v>45</v>
      </c>
      <c r="B4" s="15" t="s">
        <v>46</v>
      </c>
      <c r="C4" s="16">
        <v>3</v>
      </c>
      <c r="D4" s="16">
        <v>3</v>
      </c>
      <c r="E4" s="16">
        <v>3</v>
      </c>
      <c r="F4" s="16">
        <v>2</v>
      </c>
    </row>
    <row r="5" spans="1:6" x14ac:dyDescent="0.2">
      <c r="A5" s="35"/>
      <c r="B5" s="17" t="s">
        <v>47</v>
      </c>
      <c r="C5" s="18">
        <v>2</v>
      </c>
      <c r="D5" s="18">
        <v>3</v>
      </c>
      <c r="E5" s="18">
        <v>3</v>
      </c>
      <c r="F5" s="18">
        <v>1</v>
      </c>
    </row>
    <row r="6" spans="1:6" x14ac:dyDescent="0.2">
      <c r="A6" s="35"/>
      <c r="B6" s="15" t="s">
        <v>48</v>
      </c>
      <c r="C6" s="16">
        <v>4</v>
      </c>
      <c r="D6" s="16">
        <v>4</v>
      </c>
      <c r="E6" s="16">
        <v>4</v>
      </c>
      <c r="F6" s="16">
        <v>3</v>
      </c>
    </row>
    <row r="7" spans="1:6" x14ac:dyDescent="0.2">
      <c r="A7" s="35"/>
      <c r="B7" s="19" t="s">
        <v>49</v>
      </c>
      <c r="C7" s="20">
        <f>AVERAGE(C4:C6)</f>
        <v>3</v>
      </c>
      <c r="D7" s="20">
        <f>AVERAGE(D4:D6)</f>
        <v>3.3333333333333335</v>
      </c>
      <c r="E7" s="20">
        <f>AVERAGE(E4:E6)</f>
        <v>3.3333333333333335</v>
      </c>
      <c r="F7" s="20">
        <f>AVERAGE(F4:F6)</f>
        <v>2</v>
      </c>
    </row>
    <row r="8" spans="1:6" x14ac:dyDescent="0.2">
      <c r="A8" s="34" t="s">
        <v>50</v>
      </c>
      <c r="B8" s="15" t="s">
        <v>46</v>
      </c>
      <c r="C8" s="16">
        <v>3</v>
      </c>
      <c r="D8" s="16">
        <v>4</v>
      </c>
      <c r="E8" s="16">
        <v>4</v>
      </c>
      <c r="F8" s="16">
        <v>1</v>
      </c>
    </row>
    <row r="9" spans="1:6" x14ac:dyDescent="0.2">
      <c r="A9" s="35"/>
      <c r="B9" s="17" t="s">
        <v>47</v>
      </c>
      <c r="C9" s="18">
        <v>2</v>
      </c>
      <c r="D9" s="18">
        <v>3</v>
      </c>
      <c r="E9" s="18">
        <v>3</v>
      </c>
      <c r="F9" s="18">
        <v>1</v>
      </c>
    </row>
    <row r="10" spans="1:6" x14ac:dyDescent="0.2">
      <c r="A10" s="35"/>
      <c r="B10" s="15" t="s">
        <v>48</v>
      </c>
      <c r="C10" s="16">
        <v>3</v>
      </c>
      <c r="D10" s="16">
        <v>4</v>
      </c>
      <c r="E10" s="16">
        <v>4</v>
      </c>
      <c r="F10" s="16">
        <v>0</v>
      </c>
    </row>
    <row r="11" spans="1:6" x14ac:dyDescent="0.2">
      <c r="A11" s="35"/>
      <c r="B11" s="19" t="s">
        <v>49</v>
      </c>
      <c r="C11" s="20">
        <f>AVERAGE(C8:C10)</f>
        <v>2.6666666666666665</v>
      </c>
      <c r="D11" s="20">
        <f>AVERAGE(D8:D10)</f>
        <v>3.6666666666666665</v>
      </c>
      <c r="E11" s="20">
        <f>AVERAGE(E8:E10)</f>
        <v>3.6666666666666665</v>
      </c>
      <c r="F11" s="20">
        <f>AVERAGE(F8:F10)</f>
        <v>0.66666666666666663</v>
      </c>
    </row>
    <row r="12" spans="1:6" x14ac:dyDescent="0.2">
      <c r="A12" s="34" t="s">
        <v>51</v>
      </c>
      <c r="B12" s="15" t="s">
        <v>46</v>
      </c>
      <c r="C12" s="16">
        <v>4</v>
      </c>
      <c r="D12" s="16">
        <v>4</v>
      </c>
      <c r="E12" s="16">
        <v>4</v>
      </c>
      <c r="F12" s="16">
        <v>2</v>
      </c>
    </row>
    <row r="13" spans="1:6" x14ac:dyDescent="0.2">
      <c r="A13" s="35"/>
      <c r="B13" s="17" t="s">
        <v>47</v>
      </c>
      <c r="C13" s="18">
        <v>2</v>
      </c>
      <c r="D13" s="18">
        <v>3</v>
      </c>
      <c r="E13" s="18">
        <v>3</v>
      </c>
      <c r="F13" s="18">
        <v>1</v>
      </c>
    </row>
    <row r="14" spans="1:6" x14ac:dyDescent="0.2">
      <c r="A14" s="35"/>
      <c r="B14" s="15" t="s">
        <v>48</v>
      </c>
      <c r="C14" s="16">
        <v>4</v>
      </c>
      <c r="D14" s="16">
        <v>4</v>
      </c>
      <c r="E14" s="16">
        <v>4</v>
      </c>
      <c r="F14" s="16">
        <v>2</v>
      </c>
    </row>
    <row r="15" spans="1:6" x14ac:dyDescent="0.2">
      <c r="A15" s="35"/>
      <c r="B15" s="19" t="s">
        <v>49</v>
      </c>
      <c r="C15" s="20">
        <f>AVERAGE(C12:C14)</f>
        <v>3.3333333333333335</v>
      </c>
      <c r="D15" s="20">
        <f>AVERAGE(D12:D14)</f>
        <v>3.6666666666666665</v>
      </c>
      <c r="E15" s="20">
        <f>AVERAGE(E12:E14)</f>
        <v>3.6666666666666665</v>
      </c>
      <c r="F15" s="20">
        <f>AVERAGE(F12:F14)</f>
        <v>1.6666666666666667</v>
      </c>
    </row>
    <row r="16" spans="1:6" x14ac:dyDescent="0.2">
      <c r="A16" s="34" t="s">
        <v>52</v>
      </c>
      <c r="B16" s="15" t="s">
        <v>46</v>
      </c>
      <c r="C16" s="16">
        <v>4</v>
      </c>
      <c r="D16" s="16">
        <v>4</v>
      </c>
      <c r="E16" s="16">
        <v>4</v>
      </c>
      <c r="F16" s="16">
        <v>1</v>
      </c>
    </row>
    <row r="17" spans="1:6" x14ac:dyDescent="0.2">
      <c r="A17" s="35"/>
      <c r="B17" s="17" t="s">
        <v>47</v>
      </c>
      <c r="C17" s="18">
        <v>3</v>
      </c>
      <c r="D17" s="18">
        <v>4</v>
      </c>
      <c r="E17" s="18">
        <v>4</v>
      </c>
      <c r="F17" s="18">
        <v>0</v>
      </c>
    </row>
    <row r="18" spans="1:6" x14ac:dyDescent="0.2">
      <c r="A18" s="35"/>
      <c r="B18" s="15" t="s">
        <v>48</v>
      </c>
      <c r="C18" s="16">
        <v>4</v>
      </c>
      <c r="D18" s="16">
        <v>4</v>
      </c>
      <c r="E18" s="16">
        <v>4</v>
      </c>
      <c r="F18" s="16">
        <v>1</v>
      </c>
    </row>
    <row r="19" spans="1:6" x14ac:dyDescent="0.2">
      <c r="A19" s="35"/>
      <c r="B19" s="19" t="s">
        <v>49</v>
      </c>
      <c r="C19" s="20">
        <f>AVERAGE(C16:C18)</f>
        <v>3.6666666666666665</v>
      </c>
      <c r="D19" s="20">
        <f>AVERAGE(D16:D18)</f>
        <v>4</v>
      </c>
      <c r="E19" s="20">
        <f>AVERAGE(E16:E18)</f>
        <v>4</v>
      </c>
      <c r="F19" s="20">
        <f>AVERAGE(F16:F18)</f>
        <v>0.66666666666666663</v>
      </c>
    </row>
    <row r="20" spans="1:6" x14ac:dyDescent="0.2">
      <c r="A20" s="34" t="s">
        <v>53</v>
      </c>
      <c r="B20" s="15" t="s">
        <v>46</v>
      </c>
      <c r="C20" s="16">
        <v>3</v>
      </c>
      <c r="D20" s="16">
        <v>3</v>
      </c>
      <c r="E20" s="16">
        <v>4</v>
      </c>
      <c r="F20" s="16">
        <v>1</v>
      </c>
    </row>
    <row r="21" spans="1:6" x14ac:dyDescent="0.2">
      <c r="A21" s="35"/>
      <c r="B21" s="17" t="s">
        <v>47</v>
      </c>
      <c r="C21" s="18">
        <v>2</v>
      </c>
      <c r="D21" s="18">
        <v>3</v>
      </c>
      <c r="E21" s="18">
        <v>4</v>
      </c>
      <c r="F21" s="18">
        <v>1</v>
      </c>
    </row>
    <row r="22" spans="1:6" x14ac:dyDescent="0.2">
      <c r="A22" s="35"/>
      <c r="B22" s="15" t="s">
        <v>48</v>
      </c>
      <c r="C22" s="16">
        <v>4</v>
      </c>
      <c r="D22" s="16">
        <v>4</v>
      </c>
      <c r="E22" s="16">
        <v>4</v>
      </c>
      <c r="F22" s="16">
        <v>2</v>
      </c>
    </row>
    <row r="23" spans="1:6" x14ac:dyDescent="0.2">
      <c r="A23" s="35"/>
      <c r="B23" s="19" t="s">
        <v>49</v>
      </c>
      <c r="C23" s="20">
        <f>AVERAGE(C20:C22)</f>
        <v>3</v>
      </c>
      <c r="D23" s="20">
        <f>AVERAGE(D20:D22)</f>
        <v>3.3333333333333335</v>
      </c>
      <c r="E23" s="20">
        <f>AVERAGE(E20:E22)</f>
        <v>4</v>
      </c>
      <c r="F23" s="20">
        <f>AVERAGE(F20:F22)</f>
        <v>1.3333333333333333</v>
      </c>
    </row>
    <row r="24" spans="1:6" x14ac:dyDescent="0.2">
      <c r="A24" s="34" t="s">
        <v>54</v>
      </c>
      <c r="B24" s="15" t="s">
        <v>46</v>
      </c>
      <c r="C24" s="16">
        <v>4</v>
      </c>
      <c r="D24" s="16">
        <v>4</v>
      </c>
      <c r="E24" s="16">
        <v>4</v>
      </c>
      <c r="F24" s="16">
        <v>1</v>
      </c>
    </row>
    <row r="25" spans="1:6" x14ac:dyDescent="0.2">
      <c r="A25" s="35"/>
      <c r="B25" s="17" t="s">
        <v>47</v>
      </c>
      <c r="C25" s="18">
        <v>2</v>
      </c>
      <c r="D25" s="18">
        <v>4</v>
      </c>
      <c r="E25" s="18">
        <v>4</v>
      </c>
      <c r="F25" s="18">
        <v>0</v>
      </c>
    </row>
    <row r="26" spans="1:6" x14ac:dyDescent="0.2">
      <c r="A26" s="35"/>
      <c r="B26" s="15" t="s">
        <v>48</v>
      </c>
      <c r="C26" s="16">
        <v>4</v>
      </c>
      <c r="D26" s="16">
        <v>4</v>
      </c>
      <c r="E26" s="16">
        <v>4</v>
      </c>
      <c r="F26" s="16">
        <v>1</v>
      </c>
    </row>
    <row r="27" spans="1:6" x14ac:dyDescent="0.2">
      <c r="A27" s="35"/>
      <c r="B27" s="19" t="s">
        <v>49</v>
      </c>
      <c r="C27" s="20">
        <f>AVERAGE(C24:C26)</f>
        <v>3.3333333333333335</v>
      </c>
      <c r="D27" s="20">
        <f>AVERAGE(D24:D26)</f>
        <v>4</v>
      </c>
      <c r="E27" s="20">
        <f>AVERAGE(E24:E26)</f>
        <v>4</v>
      </c>
      <c r="F27" s="20">
        <f>AVERAGE(F24:F26)</f>
        <v>0.66666666666666663</v>
      </c>
    </row>
    <row r="28" spans="1:6" x14ac:dyDescent="0.2">
      <c r="A28" s="32" t="s">
        <v>55</v>
      </c>
      <c r="B28" s="21" t="s">
        <v>46</v>
      </c>
      <c r="C28" s="22">
        <f>Claude_judge!B29</f>
        <v>76</v>
      </c>
      <c r="D28" s="22">
        <f>Claude_judge!C29</f>
        <v>83</v>
      </c>
      <c r="E28" s="22">
        <f>Claude_judge!D29</f>
        <v>85</v>
      </c>
      <c r="F28" s="22">
        <f>Claude_judge!E29</f>
        <v>30</v>
      </c>
    </row>
    <row r="29" spans="1:6" x14ac:dyDescent="0.2">
      <c r="A29" s="33"/>
      <c r="B29" s="23" t="s">
        <v>47</v>
      </c>
      <c r="C29" s="24" t="e">
        <f>Codex_judge!#REF!</f>
        <v>#REF!</v>
      </c>
      <c r="D29" s="24">
        <f>Codex_judge!B29</f>
        <v>81</v>
      </c>
      <c r="E29" s="24">
        <f>Codex_judge!C29</f>
        <v>69</v>
      </c>
      <c r="F29" s="24" t="e">
        <f>Codex_judge!#REF!</f>
        <v>#REF!</v>
      </c>
    </row>
    <row r="30" spans="1:6" x14ac:dyDescent="0.2">
      <c r="A30" s="33"/>
      <c r="B30" s="25" t="s">
        <v>48</v>
      </c>
      <c r="C30" s="26">
        <f>Gemma_judge!B29</f>
        <v>94</v>
      </c>
      <c r="D30" s="26">
        <f>Gemma_judge!C29</f>
        <v>85</v>
      </c>
      <c r="E30" s="26">
        <f>Gemma_judge!D29</f>
        <v>100</v>
      </c>
      <c r="F30" s="26">
        <f>Gemma_judge!E29</f>
        <v>36</v>
      </c>
    </row>
    <row r="31" spans="1:6" x14ac:dyDescent="0.2">
      <c r="A31" s="33"/>
      <c r="B31" s="27" t="s">
        <v>49</v>
      </c>
      <c r="C31" s="28" t="e">
        <f>AVERAGE(C28:C30)</f>
        <v>#REF!</v>
      </c>
      <c r="D31" s="28">
        <f>AVERAGE(D28:D30)</f>
        <v>83</v>
      </c>
      <c r="E31" s="28">
        <f>AVERAGE(E28:E30)</f>
        <v>84.666666666666671</v>
      </c>
      <c r="F31" s="28" t="e">
        <f>AVERAGE(F28:F30)</f>
        <v>#REF!</v>
      </c>
    </row>
  </sheetData>
  <mergeCells count="7">
    <mergeCell ref="A28:A31"/>
    <mergeCell ref="A4:A7"/>
    <mergeCell ref="A8:A11"/>
    <mergeCell ref="A12:A15"/>
    <mergeCell ref="A16:A19"/>
    <mergeCell ref="A20:A23"/>
    <mergeCell ref="A24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7091-03B1-DB4D-864B-38914822CD3B}">
  <dimension ref="A1:G34"/>
  <sheetViews>
    <sheetView showGridLines="0" zoomScaleNormal="100" workbookViewId="0">
      <selection activeCell="D12" sqref="D12"/>
    </sheetView>
  </sheetViews>
  <sheetFormatPr baseColWidth="10" defaultColWidth="8.6640625" defaultRowHeight="15" x14ac:dyDescent="0.2"/>
  <cols>
    <col min="1" max="1" width="42" customWidth="1"/>
    <col min="2" max="7" width="14" customWidth="1"/>
  </cols>
  <sheetData>
    <row r="1" spans="1:7" ht="24" customHeight="1" x14ac:dyDescent="0.2">
      <c r="A1" s="36" t="s">
        <v>0</v>
      </c>
      <c r="B1" s="36"/>
      <c r="C1" s="36"/>
      <c r="D1" s="36"/>
      <c r="E1" s="36"/>
      <c r="F1" s="36"/>
      <c r="G1" s="36"/>
    </row>
    <row r="2" spans="1:7" ht="25.5" customHeight="1" x14ac:dyDescent="0.2">
      <c r="A2" s="37" t="s">
        <v>1</v>
      </c>
      <c r="B2" s="37"/>
      <c r="C2" s="37"/>
      <c r="D2" s="37"/>
      <c r="E2" s="37"/>
      <c r="F2" s="37"/>
      <c r="G2" s="37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9</v>
      </c>
      <c r="B4" s="3">
        <v>3</v>
      </c>
      <c r="C4" s="3">
        <v>3</v>
      </c>
      <c r="D4" s="3">
        <v>3</v>
      </c>
      <c r="E4" s="3">
        <v>2</v>
      </c>
      <c r="F4" s="3"/>
      <c r="G4" s="3"/>
    </row>
    <row r="5" spans="1:7" x14ac:dyDescent="0.2">
      <c r="A5" s="2" t="s">
        <v>10</v>
      </c>
      <c r="B5" s="3">
        <v>3</v>
      </c>
      <c r="C5" s="3">
        <v>4</v>
      </c>
      <c r="D5" s="3">
        <v>4</v>
      </c>
      <c r="E5" s="3">
        <v>1</v>
      </c>
      <c r="F5" s="3"/>
      <c r="G5" s="3"/>
    </row>
    <row r="6" spans="1:7" x14ac:dyDescent="0.2">
      <c r="A6" s="2" t="s">
        <v>11</v>
      </c>
      <c r="B6" s="3">
        <v>4</v>
      </c>
      <c r="C6" s="3">
        <v>4</v>
      </c>
      <c r="D6" s="3">
        <v>4</v>
      </c>
      <c r="E6" s="3">
        <v>2</v>
      </c>
      <c r="F6" s="3"/>
      <c r="G6" s="3"/>
    </row>
    <row r="7" spans="1:7" x14ac:dyDescent="0.2">
      <c r="A7" s="2" t="s">
        <v>12</v>
      </c>
      <c r="B7" s="3">
        <v>4</v>
      </c>
      <c r="C7" s="3">
        <v>4</v>
      </c>
      <c r="D7" s="3">
        <v>4</v>
      </c>
      <c r="E7" s="3">
        <v>1</v>
      </c>
      <c r="F7" s="3"/>
      <c r="G7" s="3"/>
    </row>
    <row r="8" spans="1:7" x14ac:dyDescent="0.2">
      <c r="A8" s="2" t="s">
        <v>13</v>
      </c>
      <c r="B8" s="3">
        <v>3</v>
      </c>
      <c r="C8" s="3">
        <v>3</v>
      </c>
      <c r="D8" s="3">
        <v>4</v>
      </c>
      <c r="E8" s="3">
        <v>1</v>
      </c>
      <c r="F8" s="3"/>
      <c r="G8" s="3"/>
    </row>
    <row r="9" spans="1:7" x14ac:dyDescent="0.2">
      <c r="A9" s="2" t="s">
        <v>14</v>
      </c>
      <c r="B9" s="3">
        <v>4</v>
      </c>
      <c r="C9" s="3">
        <v>4</v>
      </c>
      <c r="D9" s="3">
        <v>4</v>
      </c>
      <c r="E9" s="3">
        <v>1</v>
      </c>
      <c r="F9" s="3"/>
      <c r="G9" s="3"/>
    </row>
    <row r="10" spans="1:7" x14ac:dyDescent="0.2">
      <c r="A10" s="4" t="s">
        <v>15</v>
      </c>
      <c r="B10" s="38"/>
      <c r="C10" s="38"/>
      <c r="D10" s="38"/>
      <c r="E10" s="38"/>
      <c r="F10" s="38"/>
      <c r="G10" s="38"/>
    </row>
    <row r="11" spans="1:7" x14ac:dyDescent="0.2">
      <c r="A11" s="5" t="s">
        <v>16</v>
      </c>
      <c r="B11" s="6" t="s">
        <v>17</v>
      </c>
      <c r="C11" s="6" t="s">
        <v>17</v>
      </c>
      <c r="D11" s="6" t="s">
        <v>17</v>
      </c>
      <c r="E11" s="6" t="s">
        <v>17</v>
      </c>
      <c r="F11" s="6" t="s">
        <v>17</v>
      </c>
      <c r="G11" s="6" t="s">
        <v>17</v>
      </c>
    </row>
    <row r="12" spans="1:7" x14ac:dyDescent="0.2">
      <c r="A12" s="5" t="s">
        <v>18</v>
      </c>
      <c r="B12" s="6" t="s">
        <v>19</v>
      </c>
      <c r="C12" s="6" t="s">
        <v>19</v>
      </c>
      <c r="D12" s="6" t="s">
        <v>19</v>
      </c>
      <c r="E12" s="6" t="s">
        <v>19</v>
      </c>
      <c r="F12" s="6" t="s">
        <v>19</v>
      </c>
      <c r="G12" s="6" t="s">
        <v>19</v>
      </c>
    </row>
    <row r="13" spans="1:7" x14ac:dyDescent="0.2">
      <c r="A13" s="5" t="s">
        <v>20</v>
      </c>
      <c r="B13" s="6" t="s">
        <v>17</v>
      </c>
      <c r="C13" s="6" t="s">
        <v>17</v>
      </c>
      <c r="D13" s="6" t="s">
        <v>17</v>
      </c>
      <c r="E13" s="6" t="s">
        <v>17</v>
      </c>
      <c r="F13" s="6" t="s">
        <v>17</v>
      </c>
      <c r="G13" s="6" t="s">
        <v>17</v>
      </c>
    </row>
    <row r="14" spans="1:7" x14ac:dyDescent="0.2">
      <c r="A14" s="5" t="s">
        <v>21</v>
      </c>
      <c r="B14" s="6" t="s">
        <v>17</v>
      </c>
      <c r="C14" s="6" t="s">
        <v>17</v>
      </c>
      <c r="D14" s="6" t="s">
        <v>17</v>
      </c>
      <c r="E14" s="6" t="s">
        <v>17</v>
      </c>
      <c r="F14" s="6" t="s">
        <v>17</v>
      </c>
      <c r="G14" s="6" t="s">
        <v>17</v>
      </c>
    </row>
    <row r="15" spans="1:7" x14ac:dyDescent="0.2">
      <c r="A15" s="5" t="s">
        <v>22</v>
      </c>
      <c r="B15" s="6" t="s">
        <v>19</v>
      </c>
      <c r="C15" s="6" t="s">
        <v>19</v>
      </c>
      <c r="D15" s="6" t="s">
        <v>19</v>
      </c>
      <c r="E15" s="6" t="s">
        <v>19</v>
      </c>
      <c r="F15" s="6" t="s">
        <v>19</v>
      </c>
      <c r="G15" s="6" t="s">
        <v>19</v>
      </c>
    </row>
    <row r="16" spans="1:7" x14ac:dyDescent="0.2">
      <c r="A16" s="5" t="s">
        <v>23</v>
      </c>
      <c r="B16" s="6" t="s">
        <v>17</v>
      </c>
      <c r="C16" s="6" t="s">
        <v>17</v>
      </c>
      <c r="D16" s="6" t="s">
        <v>17</v>
      </c>
      <c r="E16" s="6" t="s">
        <v>17</v>
      </c>
      <c r="F16" s="6" t="s">
        <v>17</v>
      </c>
      <c r="G16" s="6" t="s">
        <v>17</v>
      </c>
    </row>
    <row r="17" spans="1:7" x14ac:dyDescent="0.2">
      <c r="A17" s="5" t="s">
        <v>24</v>
      </c>
      <c r="B17" s="6" t="s">
        <v>19</v>
      </c>
      <c r="C17" s="6" t="s">
        <v>19</v>
      </c>
      <c r="D17" s="6" t="s">
        <v>19</v>
      </c>
      <c r="E17" s="6" t="s">
        <v>19</v>
      </c>
      <c r="F17" s="6" t="s">
        <v>19</v>
      </c>
      <c r="G17" s="6" t="s">
        <v>19</v>
      </c>
    </row>
    <row r="18" spans="1:7" x14ac:dyDescent="0.2">
      <c r="A18" s="5" t="s">
        <v>25</v>
      </c>
      <c r="B18" s="6" t="s">
        <v>17</v>
      </c>
      <c r="C18" s="6" t="s">
        <v>17</v>
      </c>
      <c r="D18" s="6" t="s">
        <v>17</v>
      </c>
      <c r="E18" s="6" t="s">
        <v>26</v>
      </c>
      <c r="F18" s="6" t="s">
        <v>17</v>
      </c>
      <c r="G18" s="6" t="s">
        <v>17</v>
      </c>
    </row>
    <row r="19" spans="1:7" x14ac:dyDescent="0.2">
      <c r="A19" s="5" t="s">
        <v>27</v>
      </c>
      <c r="B19" s="6" t="s">
        <v>26</v>
      </c>
      <c r="C19" s="6" t="s">
        <v>26</v>
      </c>
      <c r="D19" s="6" t="s">
        <v>26</v>
      </c>
      <c r="E19" s="6" t="s">
        <v>26</v>
      </c>
      <c r="F19" s="6" t="s">
        <v>17</v>
      </c>
      <c r="G19" s="6" t="s">
        <v>17</v>
      </c>
    </row>
    <row r="20" spans="1:7" x14ac:dyDescent="0.2">
      <c r="A20" s="5" t="s">
        <v>28</v>
      </c>
      <c r="B20" s="6" t="s">
        <v>17</v>
      </c>
      <c r="C20" s="6" t="s">
        <v>17</v>
      </c>
      <c r="D20" s="6" t="s">
        <v>17</v>
      </c>
      <c r="E20" s="6" t="s">
        <v>26</v>
      </c>
      <c r="F20" s="6" t="s">
        <v>17</v>
      </c>
      <c r="G20" s="6" t="s">
        <v>17</v>
      </c>
    </row>
    <row r="21" spans="1:7" x14ac:dyDescent="0.2">
      <c r="A21" s="7" t="s">
        <v>29</v>
      </c>
      <c r="B21" s="38"/>
      <c r="C21" s="38"/>
      <c r="D21" s="38"/>
      <c r="E21" s="38"/>
      <c r="F21" s="38"/>
      <c r="G21" s="38"/>
    </row>
    <row r="22" spans="1:7" x14ac:dyDescent="0.2">
      <c r="A22" s="5" t="s">
        <v>30</v>
      </c>
      <c r="B22" s="8">
        <f t="shared" ref="B22:G22" si="0">IF(B19="Y",MIN(B4,1),B4)</f>
        <v>1</v>
      </c>
      <c r="C22" s="8">
        <f t="shared" si="0"/>
        <v>1</v>
      </c>
      <c r="D22" s="8">
        <f t="shared" si="0"/>
        <v>1</v>
      </c>
      <c r="E22" s="8">
        <f t="shared" si="0"/>
        <v>1</v>
      </c>
      <c r="F22" s="8">
        <f t="shared" si="0"/>
        <v>0</v>
      </c>
      <c r="G22" s="8">
        <f t="shared" si="0"/>
        <v>0</v>
      </c>
    </row>
    <row r="23" spans="1:7" x14ac:dyDescent="0.2">
      <c r="A23" s="5" t="s">
        <v>31</v>
      </c>
      <c r="B23" s="8">
        <f t="shared" ref="B23:G23" si="1">IF(AND(B11="Y",B12="Central"),0,IF(OR(B11="Y",B13="Y",B20="Y"),MIN(B5,1),B5))</f>
        <v>3</v>
      </c>
      <c r="C23" s="8">
        <f t="shared" si="1"/>
        <v>4</v>
      </c>
      <c r="D23" s="8">
        <f t="shared" si="1"/>
        <v>4</v>
      </c>
      <c r="E23" s="8">
        <f t="shared" si="1"/>
        <v>1</v>
      </c>
      <c r="F23" s="8">
        <f t="shared" si="1"/>
        <v>0</v>
      </c>
      <c r="G23" s="8">
        <f t="shared" si="1"/>
        <v>0</v>
      </c>
    </row>
    <row r="24" spans="1:7" x14ac:dyDescent="0.2">
      <c r="A24" s="5" t="s">
        <v>32</v>
      </c>
      <c r="B24" s="8">
        <f t="shared" ref="B24:G24" si="2">IF(OR(AND(B14="Y",B15="Central"),AND(B16="Y",B17="Central")),0,IF(OR(B14="Y",B16="Y"),MIN(B6,1),B6))</f>
        <v>4</v>
      </c>
      <c r="C24" s="8">
        <f t="shared" si="2"/>
        <v>4</v>
      </c>
      <c r="D24" s="8">
        <f t="shared" si="2"/>
        <v>4</v>
      </c>
      <c r="E24" s="8">
        <f t="shared" si="2"/>
        <v>2</v>
      </c>
      <c r="F24" s="8">
        <f t="shared" si="2"/>
        <v>0</v>
      </c>
      <c r="G24" s="8">
        <f t="shared" si="2"/>
        <v>0</v>
      </c>
    </row>
    <row r="25" spans="1:7" x14ac:dyDescent="0.2">
      <c r="A25" s="5" t="s">
        <v>33</v>
      </c>
      <c r="B25" s="8">
        <f t="shared" ref="B25:G26" si="3">B7</f>
        <v>4</v>
      </c>
      <c r="C25" s="8">
        <f t="shared" si="3"/>
        <v>4</v>
      </c>
      <c r="D25" s="8">
        <f t="shared" si="3"/>
        <v>4</v>
      </c>
      <c r="E25" s="8">
        <f t="shared" si="3"/>
        <v>1</v>
      </c>
      <c r="F25" s="8">
        <f t="shared" si="3"/>
        <v>0</v>
      </c>
      <c r="G25" s="8">
        <f t="shared" si="3"/>
        <v>0</v>
      </c>
    </row>
    <row r="26" spans="1:7" x14ac:dyDescent="0.2">
      <c r="A26" s="5" t="s">
        <v>34</v>
      </c>
      <c r="B26" s="8">
        <f t="shared" si="3"/>
        <v>3</v>
      </c>
      <c r="C26" s="8">
        <f t="shared" si="3"/>
        <v>3</v>
      </c>
      <c r="D26" s="8">
        <f t="shared" si="3"/>
        <v>4</v>
      </c>
      <c r="E26" s="8">
        <f t="shared" si="3"/>
        <v>1</v>
      </c>
      <c r="F26" s="8">
        <f t="shared" si="3"/>
        <v>0</v>
      </c>
      <c r="G26" s="8">
        <f t="shared" si="3"/>
        <v>0</v>
      </c>
    </row>
    <row r="27" spans="1:7" x14ac:dyDescent="0.2">
      <c r="A27" s="5" t="s">
        <v>35</v>
      </c>
      <c r="B27" s="8">
        <f t="shared" ref="B27:G27" si="4">IF(B18="Y",MIN(B9,1),B9)</f>
        <v>4</v>
      </c>
      <c r="C27" s="8">
        <f t="shared" si="4"/>
        <v>4</v>
      </c>
      <c r="D27" s="8">
        <f t="shared" si="4"/>
        <v>4</v>
      </c>
      <c r="E27" s="8">
        <f t="shared" si="4"/>
        <v>1</v>
      </c>
      <c r="F27" s="8">
        <f t="shared" si="4"/>
        <v>0</v>
      </c>
      <c r="G27" s="8">
        <f t="shared" si="4"/>
        <v>0</v>
      </c>
    </row>
    <row r="29" spans="1:7" ht="16" x14ac:dyDescent="0.2">
      <c r="A29" s="9" t="s">
        <v>36</v>
      </c>
      <c r="B29" s="10">
        <f t="shared" ref="B29:G29" si="5">IF(COUNT(B4:B9)&lt;6,"",ROUND((20*B22+25*B23+20*B24+15*B25+10*B26+10*B27)/4,0))</f>
        <v>76</v>
      </c>
      <c r="C29" s="10">
        <f t="shared" si="5"/>
        <v>83</v>
      </c>
      <c r="D29" s="10">
        <f t="shared" si="5"/>
        <v>85</v>
      </c>
      <c r="E29" s="10">
        <f t="shared" si="5"/>
        <v>30</v>
      </c>
      <c r="F29" s="10" t="str">
        <f t="shared" si="5"/>
        <v/>
      </c>
      <c r="G29" s="10" t="str">
        <f t="shared" si="5"/>
        <v/>
      </c>
    </row>
    <row r="30" spans="1:7" x14ac:dyDescent="0.2">
      <c r="A30" s="9" t="s">
        <v>37</v>
      </c>
      <c r="B30" s="11" t="str">
        <f t="shared" ref="B30:G30" si="6">IF(B29="","",IF(B29&gt;=85,"A",IF(B29&gt;=70,"B",IF(B29&gt;=50,"C",IF(B29&gt;=30,"D","E")))))</f>
        <v>B</v>
      </c>
      <c r="C30" s="11" t="str">
        <f t="shared" si="6"/>
        <v>B</v>
      </c>
      <c r="D30" s="11" t="str">
        <f t="shared" si="6"/>
        <v>A</v>
      </c>
      <c r="E30" s="11" t="str">
        <f t="shared" si="6"/>
        <v>D</v>
      </c>
      <c r="F30" s="11" t="str">
        <f t="shared" si="6"/>
        <v/>
      </c>
      <c r="G30" s="11" t="str">
        <f t="shared" si="6"/>
        <v/>
      </c>
    </row>
    <row r="31" spans="1:7" x14ac:dyDescent="0.2">
      <c r="A31" s="9" t="s">
        <v>38</v>
      </c>
      <c r="B31" s="11" t="str">
        <f t="shared" ref="B31:G31" si="7">IF(B29="","",IF(OR(B11="Y",B13="Y",B14="Y",B16="Y",B18="Y",B20="Y"),IF(B19="Y","INTEG+SCOPE","INTEGRITY"),IF(B19="Y","SCOPE","Clean")))</f>
        <v>SCOPE</v>
      </c>
      <c r="C31" s="11" t="str">
        <f t="shared" si="7"/>
        <v>SCOPE</v>
      </c>
      <c r="D31" s="11" t="str">
        <f t="shared" si="7"/>
        <v>SCOPE</v>
      </c>
      <c r="E31" s="11" t="str">
        <f t="shared" si="7"/>
        <v>INTEG+SCOPE</v>
      </c>
      <c r="F31" s="11" t="str">
        <f t="shared" si="7"/>
        <v/>
      </c>
      <c r="G31" s="11" t="str">
        <f t="shared" si="7"/>
        <v/>
      </c>
    </row>
    <row r="32" spans="1:7" x14ac:dyDescent="0.2">
      <c r="A32" s="9" t="s">
        <v>39</v>
      </c>
      <c r="B32" s="11">
        <f t="shared" ref="B32:G32" si="8">IF(B29="","",SUMPRODUCT(($B$29:$G$29&lt;&gt;"")*($B$29:$G$29&gt;B29))+1)</f>
        <v>3</v>
      </c>
      <c r="C32" s="11">
        <f t="shared" si="8"/>
        <v>2</v>
      </c>
      <c r="D32" s="11">
        <f t="shared" si="8"/>
        <v>1</v>
      </c>
      <c r="E32" s="11">
        <f t="shared" si="8"/>
        <v>4</v>
      </c>
      <c r="F32" s="11" t="str">
        <f t="shared" si="8"/>
        <v/>
      </c>
      <c r="G32" s="11" t="str">
        <f t="shared" si="8"/>
        <v/>
      </c>
    </row>
    <row r="34" spans="1:7" ht="27.75" customHeight="1" x14ac:dyDescent="0.2">
      <c r="A34" s="39" t="s">
        <v>40</v>
      </c>
      <c r="B34" s="39"/>
      <c r="C34" s="39"/>
      <c r="D34" s="39"/>
      <c r="E34" s="39"/>
      <c r="F34" s="39"/>
      <c r="G34" s="39"/>
    </row>
  </sheetData>
  <mergeCells count="5">
    <mergeCell ref="A1:G1"/>
    <mergeCell ref="A2:G2"/>
    <mergeCell ref="B10:G10"/>
    <mergeCell ref="B21:G21"/>
    <mergeCell ref="A34:G34"/>
  </mergeCells>
  <dataValidations count="3">
    <dataValidation type="list" allowBlank="1" sqref="B12:G12 B15:G15 B17:G17" xr:uid="{219E59CD-8EDC-8942-BEAA-7648C8F5B3BA}">
      <formula1>"Central,Peripheral"</formula1>
      <formula2>0</formula2>
    </dataValidation>
    <dataValidation type="list" allowBlank="1" sqref="B11:G11 B13:G14 B16:G16 B18:G20" xr:uid="{674A1E3B-94A1-B540-A5E3-2D825217CAD8}">
      <formula1>"Y,N"</formula1>
      <formula2>0</formula2>
    </dataValidation>
    <dataValidation type="list" allowBlank="1" sqref="B4:G9" xr:uid="{EEF9A92D-8096-5F47-BFA1-D241A6C88F25}">
      <formula1>"0,1,2,3,4"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6CBA-70BB-AE46-828E-4A26925EC4B7}">
  <dimension ref="A1:J34"/>
  <sheetViews>
    <sheetView showGridLines="0" tabSelected="1" zoomScale="125" zoomScaleNormal="100" workbookViewId="0">
      <selection activeCell="K3" sqref="K3"/>
    </sheetView>
  </sheetViews>
  <sheetFormatPr baseColWidth="10" defaultColWidth="8.6640625" defaultRowHeight="15" x14ac:dyDescent="0.2"/>
  <cols>
    <col min="1" max="1" width="34.83203125" customWidth="1"/>
    <col min="2" max="2" width="12.1640625" customWidth="1"/>
    <col min="3" max="3" width="12.33203125" customWidth="1"/>
    <col min="4" max="4" width="12.6640625" customWidth="1"/>
    <col min="5" max="5" width="12.1640625" customWidth="1"/>
    <col min="6" max="6" width="11.6640625" customWidth="1"/>
    <col min="7" max="7" width="10.6640625" customWidth="1"/>
    <col min="8" max="8" width="11.5" customWidth="1"/>
  </cols>
  <sheetData>
    <row r="1" spans="1:10" ht="24" customHeight="1" x14ac:dyDescent="0.2">
      <c r="A1" s="36" t="s">
        <v>88</v>
      </c>
      <c r="B1" s="36"/>
      <c r="C1" s="36"/>
      <c r="D1" s="36"/>
    </row>
    <row r="2" spans="1:10" ht="25.5" customHeight="1" x14ac:dyDescent="0.2">
      <c r="A2" s="37" t="s">
        <v>1</v>
      </c>
      <c r="B2" s="37"/>
      <c r="C2" s="37"/>
      <c r="D2" s="37"/>
    </row>
    <row r="3" spans="1:10" x14ac:dyDescent="0.2">
      <c r="A3" s="1" t="s">
        <v>2</v>
      </c>
      <c r="B3" s="1" t="s">
        <v>78</v>
      </c>
      <c r="C3" s="1" t="s">
        <v>79</v>
      </c>
      <c r="D3" s="1" t="s">
        <v>84</v>
      </c>
      <c r="E3" s="1" t="s">
        <v>83</v>
      </c>
      <c r="F3" s="42" t="s">
        <v>76</v>
      </c>
      <c r="G3" s="43" t="s">
        <v>85</v>
      </c>
      <c r="H3" s="43" t="s">
        <v>86</v>
      </c>
    </row>
    <row r="4" spans="1:10" x14ac:dyDescent="0.2">
      <c r="A4" s="2" t="s">
        <v>9</v>
      </c>
      <c r="B4" s="3">
        <v>3</v>
      </c>
      <c r="C4" s="3">
        <v>3</v>
      </c>
      <c r="D4" s="3">
        <v>2</v>
      </c>
      <c r="E4" s="3">
        <v>2</v>
      </c>
      <c r="F4" s="40">
        <v>2</v>
      </c>
      <c r="G4" s="41">
        <v>2</v>
      </c>
      <c r="H4" s="41">
        <v>2</v>
      </c>
      <c r="I4" t="s">
        <v>87</v>
      </c>
    </row>
    <row r="5" spans="1:10" x14ac:dyDescent="0.2">
      <c r="A5" s="2" t="s">
        <v>10</v>
      </c>
      <c r="B5" s="3">
        <v>3</v>
      </c>
      <c r="C5" s="3">
        <v>3</v>
      </c>
      <c r="D5" s="3">
        <v>2</v>
      </c>
      <c r="E5" s="3">
        <v>2</v>
      </c>
      <c r="F5" s="40">
        <v>2</v>
      </c>
      <c r="G5" s="41">
        <v>2</v>
      </c>
      <c r="H5" s="41">
        <v>1</v>
      </c>
    </row>
    <row r="6" spans="1:10" x14ac:dyDescent="0.2">
      <c r="A6" s="2" t="s">
        <v>11</v>
      </c>
      <c r="B6" s="3">
        <v>3</v>
      </c>
      <c r="C6" s="3">
        <v>3</v>
      </c>
      <c r="D6" s="3">
        <v>2</v>
      </c>
      <c r="E6" s="3">
        <v>1</v>
      </c>
      <c r="F6" s="40">
        <v>2</v>
      </c>
      <c r="G6" s="41">
        <v>1</v>
      </c>
      <c r="H6" s="41">
        <v>1</v>
      </c>
    </row>
    <row r="7" spans="1:10" x14ac:dyDescent="0.2">
      <c r="A7" s="2" t="s">
        <v>12</v>
      </c>
      <c r="B7" s="3">
        <v>4</v>
      </c>
      <c r="C7" s="3">
        <v>4</v>
      </c>
      <c r="D7" s="3">
        <v>4</v>
      </c>
      <c r="E7" s="3">
        <v>3</v>
      </c>
      <c r="F7" s="40">
        <v>3</v>
      </c>
      <c r="G7" s="41">
        <v>2</v>
      </c>
      <c r="H7" s="41">
        <v>2</v>
      </c>
    </row>
    <row r="8" spans="1:10" x14ac:dyDescent="0.2">
      <c r="A8" s="2" t="s">
        <v>13</v>
      </c>
      <c r="B8" s="3">
        <v>3</v>
      </c>
      <c r="C8" s="3">
        <v>4</v>
      </c>
      <c r="D8" s="3">
        <v>2</v>
      </c>
      <c r="E8" s="3">
        <v>2</v>
      </c>
      <c r="F8" s="40">
        <v>2</v>
      </c>
      <c r="G8" s="41">
        <v>2</v>
      </c>
      <c r="H8" s="41">
        <v>2</v>
      </c>
    </row>
    <row r="9" spans="1:10" x14ac:dyDescent="0.2">
      <c r="A9" s="2" t="s">
        <v>14</v>
      </c>
      <c r="B9" s="3">
        <v>4</v>
      </c>
      <c r="C9" s="3">
        <v>4</v>
      </c>
      <c r="D9" s="3">
        <v>3</v>
      </c>
      <c r="E9" s="3">
        <v>2</v>
      </c>
      <c r="F9" s="40">
        <v>2</v>
      </c>
      <c r="G9" s="41">
        <v>2</v>
      </c>
      <c r="H9" s="41">
        <v>1</v>
      </c>
      <c r="J9" t="s">
        <v>89</v>
      </c>
    </row>
    <row r="10" spans="1:10" x14ac:dyDescent="0.2">
      <c r="A10" s="4" t="s">
        <v>15</v>
      </c>
      <c r="B10" s="38"/>
      <c r="C10" s="38"/>
      <c r="D10" s="38"/>
    </row>
    <row r="11" spans="1:10" x14ac:dyDescent="0.2">
      <c r="A11" s="5" t="s">
        <v>16</v>
      </c>
      <c r="B11" s="6" t="s">
        <v>17</v>
      </c>
      <c r="C11" s="6" t="s">
        <v>17</v>
      </c>
      <c r="D11" s="6" t="s">
        <v>17</v>
      </c>
      <c r="E11" s="6" t="s">
        <v>17</v>
      </c>
      <c r="F11" s="44" t="s">
        <v>17</v>
      </c>
      <c r="G11" s="45" t="s">
        <v>26</v>
      </c>
      <c r="H11" s="45" t="s">
        <v>26</v>
      </c>
    </row>
    <row r="12" spans="1:10" x14ac:dyDescent="0.2">
      <c r="A12" s="5" t="s">
        <v>18</v>
      </c>
      <c r="B12" s="6" t="s">
        <v>19</v>
      </c>
      <c r="C12" s="6" t="s">
        <v>19</v>
      </c>
      <c r="D12" s="6" t="s">
        <v>19</v>
      </c>
      <c r="E12" s="6" t="s">
        <v>19</v>
      </c>
      <c r="F12" s="44" t="s">
        <v>19</v>
      </c>
      <c r="G12" s="45" t="s">
        <v>19</v>
      </c>
      <c r="H12" s="45" t="s">
        <v>19</v>
      </c>
    </row>
    <row r="13" spans="1:10" x14ac:dyDescent="0.2">
      <c r="A13" s="5" t="s">
        <v>20</v>
      </c>
      <c r="B13" s="6" t="s">
        <v>17</v>
      </c>
      <c r="C13" s="6" t="s">
        <v>17</v>
      </c>
      <c r="D13" s="6" t="s">
        <v>17</v>
      </c>
      <c r="E13" s="6" t="s">
        <v>26</v>
      </c>
      <c r="F13" s="44" t="s">
        <v>26</v>
      </c>
      <c r="G13" s="45" t="s">
        <v>26</v>
      </c>
      <c r="H13" s="45" t="s">
        <v>26</v>
      </c>
    </row>
    <row r="14" spans="1:10" x14ac:dyDescent="0.2">
      <c r="A14" s="5" t="s">
        <v>21</v>
      </c>
      <c r="B14" s="6" t="s">
        <v>17</v>
      </c>
      <c r="C14" s="6" t="s">
        <v>26</v>
      </c>
      <c r="D14" s="6" t="s">
        <v>26</v>
      </c>
      <c r="E14" s="6" t="s">
        <v>26</v>
      </c>
      <c r="F14" s="44" t="s">
        <v>26</v>
      </c>
      <c r="G14" s="45" t="s">
        <v>26</v>
      </c>
      <c r="H14" s="45" t="s">
        <v>26</v>
      </c>
    </row>
    <row r="15" spans="1:10" x14ac:dyDescent="0.2">
      <c r="A15" s="5" t="s">
        <v>22</v>
      </c>
      <c r="B15" s="6" t="s">
        <v>19</v>
      </c>
      <c r="C15" s="6" t="s">
        <v>41</v>
      </c>
      <c r="D15" s="6" t="s">
        <v>19</v>
      </c>
      <c r="E15" s="6" t="s">
        <v>19</v>
      </c>
      <c r="F15" s="44" t="s">
        <v>19</v>
      </c>
      <c r="G15" s="45" t="s">
        <v>19</v>
      </c>
      <c r="H15" s="45" t="s">
        <v>19</v>
      </c>
    </row>
    <row r="16" spans="1:10" x14ac:dyDescent="0.2">
      <c r="A16" s="5" t="s">
        <v>23</v>
      </c>
      <c r="B16" s="6" t="s">
        <v>17</v>
      </c>
      <c r="C16" s="6" t="s">
        <v>26</v>
      </c>
      <c r="D16" s="6" t="s">
        <v>26</v>
      </c>
      <c r="E16" s="6" t="s">
        <v>26</v>
      </c>
      <c r="F16" s="44" t="s">
        <v>26</v>
      </c>
      <c r="G16" s="45" t="s">
        <v>26</v>
      </c>
      <c r="H16" s="45" t="s">
        <v>26</v>
      </c>
    </row>
    <row r="17" spans="1:8" x14ac:dyDescent="0.2">
      <c r="A17" s="5" t="s">
        <v>24</v>
      </c>
      <c r="B17" s="6" t="s">
        <v>19</v>
      </c>
      <c r="C17" s="6" t="s">
        <v>19</v>
      </c>
      <c r="D17" s="6" t="s">
        <v>19</v>
      </c>
      <c r="E17" s="6" t="s">
        <v>19</v>
      </c>
      <c r="F17" s="44" t="s">
        <v>41</v>
      </c>
      <c r="G17" s="45" t="s">
        <v>19</v>
      </c>
      <c r="H17" s="45" t="s">
        <v>19</v>
      </c>
    </row>
    <row r="18" spans="1:8" x14ac:dyDescent="0.2">
      <c r="A18" s="5" t="s">
        <v>25</v>
      </c>
      <c r="B18" s="6" t="s">
        <v>17</v>
      </c>
      <c r="C18" s="6" t="s">
        <v>17</v>
      </c>
      <c r="D18" s="6" t="s">
        <v>17</v>
      </c>
      <c r="E18" s="6" t="s">
        <v>17</v>
      </c>
      <c r="F18" s="44" t="s">
        <v>26</v>
      </c>
      <c r="G18" s="45" t="s">
        <v>26</v>
      </c>
      <c r="H18" s="45" t="s">
        <v>26</v>
      </c>
    </row>
    <row r="19" spans="1:8" x14ac:dyDescent="0.2">
      <c r="A19" s="5" t="s">
        <v>27</v>
      </c>
      <c r="B19" s="6" t="s">
        <v>17</v>
      </c>
      <c r="C19" s="6" t="s">
        <v>17</v>
      </c>
      <c r="D19" s="6" t="s">
        <v>26</v>
      </c>
      <c r="E19" s="6" t="s">
        <v>26</v>
      </c>
      <c r="F19" s="44" t="s">
        <v>26</v>
      </c>
      <c r="G19" s="45" t="s">
        <v>17</v>
      </c>
      <c r="H19" s="45" t="s">
        <v>17</v>
      </c>
    </row>
    <row r="20" spans="1:8" x14ac:dyDescent="0.2">
      <c r="A20" s="5" t="s">
        <v>28</v>
      </c>
      <c r="B20" s="6" t="s">
        <v>17</v>
      </c>
      <c r="C20" s="6" t="s">
        <v>17</v>
      </c>
      <c r="D20" s="6" t="s">
        <v>17</v>
      </c>
      <c r="E20" s="6" t="s">
        <v>17</v>
      </c>
      <c r="F20" s="44" t="s">
        <v>17</v>
      </c>
      <c r="G20" s="45" t="s">
        <v>26</v>
      </c>
      <c r="H20" s="45" t="s">
        <v>26</v>
      </c>
    </row>
    <row r="21" spans="1:8" hidden="1" x14ac:dyDescent="0.2">
      <c r="A21" s="7" t="s">
        <v>29</v>
      </c>
      <c r="B21" s="38"/>
      <c r="C21" s="38"/>
      <c r="D21" s="38"/>
    </row>
    <row r="22" spans="1:8" hidden="1" x14ac:dyDescent="0.2">
      <c r="A22" s="5" t="s">
        <v>30</v>
      </c>
      <c r="B22" s="8">
        <f t="shared" ref="B22:D22" si="0">IF(B19="Y",MIN(B4,1),B4)</f>
        <v>3</v>
      </c>
      <c r="C22" s="8">
        <f t="shared" si="0"/>
        <v>3</v>
      </c>
      <c r="D22" s="8">
        <f t="shared" si="0"/>
        <v>1</v>
      </c>
      <c r="E22" s="8">
        <f t="shared" ref="E22:F22" si="1">IF(E19="Y",MIN(E4,1),E4)</f>
        <v>1</v>
      </c>
      <c r="F22" s="8">
        <f t="shared" si="1"/>
        <v>1</v>
      </c>
      <c r="G22" s="8">
        <f t="shared" ref="G22:H22" si="2">IF(G19="Y",MIN(G4,1),G4)</f>
        <v>2</v>
      </c>
      <c r="H22" s="8">
        <f t="shared" si="2"/>
        <v>2</v>
      </c>
    </row>
    <row r="23" spans="1:8" hidden="1" x14ac:dyDescent="0.2">
      <c r="A23" s="5" t="s">
        <v>31</v>
      </c>
      <c r="B23" s="8">
        <f t="shared" ref="B23:D23" si="3">IF(AND(B11="Y",B12="Central"),0,IF(OR(B11="Y",B13="Y",B20="Y"),MIN(B5,1),B5))</f>
        <v>3</v>
      </c>
      <c r="C23" s="8">
        <f t="shared" si="3"/>
        <v>3</v>
      </c>
      <c r="D23" s="8">
        <f t="shared" si="3"/>
        <v>2</v>
      </c>
      <c r="E23" s="8">
        <f t="shared" ref="E23:F23" si="4">IF(AND(E11="Y",E12="Central"),0,IF(OR(E11="Y",E13="Y",E20="Y"),MIN(E5,1),E5))</f>
        <v>1</v>
      </c>
      <c r="F23" s="8">
        <f t="shared" si="4"/>
        <v>1</v>
      </c>
      <c r="G23" s="8">
        <f t="shared" ref="G23:H23" si="5">IF(AND(G11="Y",G12="Central"),0,IF(OR(G11="Y",G13="Y",G20="Y"),MIN(G5,1),G5))</f>
        <v>0</v>
      </c>
      <c r="H23" s="8">
        <f t="shared" si="5"/>
        <v>0</v>
      </c>
    </row>
    <row r="24" spans="1:8" hidden="1" x14ac:dyDescent="0.2">
      <c r="A24" s="5" t="s">
        <v>32</v>
      </c>
      <c r="B24" s="8">
        <f t="shared" ref="B24:D24" si="6">IF(OR(AND(B14="Y",B15="Central"),AND(B16="Y",B17="Central")),0,IF(OR(B14="Y",B16="Y"),MIN(B6,1),B6))</f>
        <v>3</v>
      </c>
      <c r="C24" s="8">
        <f t="shared" si="6"/>
        <v>0</v>
      </c>
      <c r="D24" s="8">
        <f t="shared" si="6"/>
        <v>0</v>
      </c>
      <c r="E24" s="8">
        <f t="shared" ref="E24:F24" si="7">IF(OR(AND(E14="Y",E15="Central"),AND(E16="Y",E17="Central")),0,IF(OR(E14="Y",E16="Y"),MIN(E6,1),E6))</f>
        <v>0</v>
      </c>
      <c r="F24" s="8">
        <f t="shared" si="7"/>
        <v>0</v>
      </c>
      <c r="G24" s="8">
        <f t="shared" ref="G24:H24" si="8">IF(OR(AND(G14="Y",G15="Central"),AND(G16="Y",G17="Central")),0,IF(OR(G14="Y",G16="Y"),MIN(G6,1),G6))</f>
        <v>0</v>
      </c>
      <c r="H24" s="8">
        <f t="shared" si="8"/>
        <v>0</v>
      </c>
    </row>
    <row r="25" spans="1:8" hidden="1" x14ac:dyDescent="0.2">
      <c r="A25" s="5" t="s">
        <v>33</v>
      </c>
      <c r="B25" s="8">
        <f t="shared" ref="B25:D26" si="9">B7</f>
        <v>4</v>
      </c>
      <c r="C25" s="8">
        <f t="shared" si="9"/>
        <v>4</v>
      </c>
      <c r="D25" s="8">
        <f t="shared" si="9"/>
        <v>4</v>
      </c>
      <c r="E25" s="8">
        <f t="shared" ref="E25:F25" si="10">E7</f>
        <v>3</v>
      </c>
      <c r="F25" s="8">
        <f t="shared" si="10"/>
        <v>3</v>
      </c>
      <c r="G25" s="8">
        <f t="shared" ref="G25:H25" si="11">G7</f>
        <v>2</v>
      </c>
      <c r="H25" s="8">
        <f t="shared" si="11"/>
        <v>2</v>
      </c>
    </row>
    <row r="26" spans="1:8" hidden="1" x14ac:dyDescent="0.2">
      <c r="A26" s="5" t="s">
        <v>34</v>
      </c>
      <c r="B26" s="8">
        <f t="shared" si="9"/>
        <v>3</v>
      </c>
      <c r="C26" s="8">
        <f t="shared" si="9"/>
        <v>4</v>
      </c>
      <c r="D26" s="8">
        <f t="shared" si="9"/>
        <v>2</v>
      </c>
      <c r="E26" s="8">
        <f t="shared" ref="E26:F26" si="12">E8</f>
        <v>2</v>
      </c>
      <c r="F26" s="8">
        <f t="shared" si="12"/>
        <v>2</v>
      </c>
      <c r="G26" s="8">
        <f t="shared" ref="G26:H26" si="13">G8</f>
        <v>2</v>
      </c>
      <c r="H26" s="8">
        <f t="shared" si="13"/>
        <v>2</v>
      </c>
    </row>
    <row r="27" spans="1:8" hidden="1" x14ac:dyDescent="0.2">
      <c r="A27" s="5" t="s">
        <v>35</v>
      </c>
      <c r="B27" s="8">
        <f t="shared" ref="B27:D27" si="14">IF(B18="Y",MIN(B9,1),B9)</f>
        <v>4</v>
      </c>
      <c r="C27" s="8">
        <f t="shared" si="14"/>
        <v>4</v>
      </c>
      <c r="D27" s="8">
        <f t="shared" si="14"/>
        <v>3</v>
      </c>
      <c r="E27" s="8">
        <f t="shared" ref="E27:F27" si="15">IF(E18="Y",MIN(E9,1),E9)</f>
        <v>2</v>
      </c>
      <c r="F27" s="8">
        <f t="shared" si="15"/>
        <v>1</v>
      </c>
      <c r="G27" s="8">
        <f t="shared" ref="G27:H27" si="16">IF(G18="Y",MIN(G9,1),G9)</f>
        <v>1</v>
      </c>
      <c r="H27" s="8">
        <f t="shared" si="16"/>
        <v>1</v>
      </c>
    </row>
    <row r="29" spans="1:8" ht="16" x14ac:dyDescent="0.2">
      <c r="A29" s="9" t="s">
        <v>36</v>
      </c>
      <c r="B29" s="10">
        <f t="shared" ref="B29:D29" si="17">IF(COUNT(B4:B9)&lt;6,"",ROUND((20*B22+25*B23+20*B24+15*B25+10*B26+10*B27)/4,0))</f>
        <v>81</v>
      </c>
      <c r="C29" s="10">
        <f t="shared" si="17"/>
        <v>69</v>
      </c>
      <c r="D29" s="10">
        <f t="shared" si="17"/>
        <v>45</v>
      </c>
      <c r="E29" s="10">
        <f t="shared" ref="E29:F29" si="18">IF(COUNT(E4:E9)&lt;6,"",ROUND((20*E22+25*E23+20*E24+15*E25+10*E26+10*E27)/4,0))</f>
        <v>33</v>
      </c>
      <c r="F29" s="10">
        <f t="shared" si="18"/>
        <v>30</v>
      </c>
      <c r="G29" s="10">
        <f t="shared" ref="G29:H29" si="19">IF(COUNT(G4:G9)&lt;6,"",ROUND((20*G22+25*G23+20*G24+15*G25+10*G26+10*G27)/4,0))</f>
        <v>25</v>
      </c>
      <c r="H29" s="10">
        <f t="shared" si="19"/>
        <v>25</v>
      </c>
    </row>
    <row r="30" spans="1:8" hidden="1" x14ac:dyDescent="0.2">
      <c r="A30" s="9" t="s">
        <v>37</v>
      </c>
      <c r="B30" s="11" t="str">
        <f t="shared" ref="B30:D30" si="20">IF(B29="","",IF(B29&gt;=85,"A",IF(B29&gt;=70,"B",IF(B29&gt;=50,"C",IF(B29&gt;=30,"D","E")))))</f>
        <v>B</v>
      </c>
      <c r="C30" s="11" t="str">
        <f t="shared" si="20"/>
        <v>C</v>
      </c>
      <c r="D30" s="11" t="str">
        <f t="shared" si="20"/>
        <v>D</v>
      </c>
      <c r="E30" s="11" t="str">
        <f t="shared" ref="E30:F30" si="21">IF(E29="","",IF(E29&gt;=85,"A",IF(E29&gt;=70,"B",IF(E29&gt;=50,"C",IF(E29&gt;=30,"D","E")))))</f>
        <v>D</v>
      </c>
      <c r="F30" s="11" t="str">
        <f t="shared" si="21"/>
        <v>D</v>
      </c>
      <c r="G30" s="11" t="str">
        <f t="shared" ref="G30:H30" si="22">IF(G29="","",IF(G29&gt;=85,"A",IF(G29&gt;=70,"B",IF(G29&gt;=50,"C",IF(G29&gt;=30,"D","E")))))</f>
        <v>E</v>
      </c>
      <c r="H30" s="11" t="str">
        <f t="shared" si="22"/>
        <v>E</v>
      </c>
    </row>
    <row r="31" spans="1:8" hidden="1" x14ac:dyDescent="0.2">
      <c r="A31" s="9" t="s">
        <v>38</v>
      </c>
      <c r="B31" s="11" t="str">
        <f t="shared" ref="B31:D31" si="23">IF(B29="","",IF(OR(B11="Y",B13="Y",B14="Y",B16="Y",B18="Y",B20="Y"),IF(B19="Y","INTEG+SCOPE","INTEGRITY"),IF(B19="Y","SCOPE","Clean")))</f>
        <v>Clean</v>
      </c>
      <c r="C31" s="11" t="str">
        <f t="shared" si="23"/>
        <v>INTEGRITY</v>
      </c>
      <c r="D31" s="11" t="str">
        <f t="shared" si="23"/>
        <v>INTEG+SCOPE</v>
      </c>
      <c r="E31" s="11" t="str">
        <f t="shared" ref="E31:F31" si="24">IF(E29="","",IF(OR(E11="Y",E13="Y",E14="Y",E16="Y",E18="Y",E20="Y"),IF(E19="Y","INTEG+SCOPE","INTEGRITY"),IF(E19="Y","SCOPE","Clean")))</f>
        <v>INTEG+SCOPE</v>
      </c>
      <c r="F31" s="11" t="str">
        <f t="shared" si="24"/>
        <v>INTEG+SCOPE</v>
      </c>
      <c r="G31" s="11" t="str">
        <f t="shared" ref="G31:H31" si="25">IF(G29="","",IF(OR(G11="Y",G13="Y",G14="Y",G16="Y",G18="Y",G20="Y"),IF(G19="Y","INTEG+SCOPE","INTEGRITY"),IF(G19="Y","SCOPE","Clean")))</f>
        <v>INTEGRITY</v>
      </c>
      <c r="H31" s="11" t="str">
        <f t="shared" si="25"/>
        <v>INTEGRITY</v>
      </c>
    </row>
    <row r="32" spans="1:8" hidden="1" x14ac:dyDescent="0.2">
      <c r="A32" s="9" t="s">
        <v>39</v>
      </c>
      <c r="B32" s="11">
        <f>IF(B29="","",SUMPRODUCT(($B$29:$D$29&lt;&gt;"")*($B$29:$D$29&gt;B29))+1)</f>
        <v>1</v>
      </c>
      <c r="C32" s="11">
        <f>IF(C29="","",SUMPRODUCT(($B$29:$D$29&lt;&gt;"")*($B$29:$D$29&gt;C29))+1)</f>
        <v>2</v>
      </c>
      <c r="D32" s="11">
        <f>IF(D29="","",SUMPRODUCT(($B$29:$D$29&lt;&gt;"")*($B$29:$D$29&gt;D29))+1)</f>
        <v>3</v>
      </c>
      <c r="E32" s="11">
        <f>IF(E29="","",SUMPRODUCT(($B$29:$D$29&lt;&gt;"")*($B$29:$D$29&gt;E29))+1)</f>
        <v>4</v>
      </c>
      <c r="F32" s="11">
        <v>5</v>
      </c>
      <c r="G32" s="11">
        <v>6</v>
      </c>
      <c r="H32" s="11">
        <v>6</v>
      </c>
    </row>
    <row r="34" spans="1:4" ht="27.75" customHeight="1" x14ac:dyDescent="0.2">
      <c r="A34" s="39" t="s">
        <v>40</v>
      </c>
      <c r="B34" s="39"/>
      <c r="C34" s="39"/>
      <c r="D34" s="39"/>
    </row>
  </sheetData>
  <mergeCells count="5">
    <mergeCell ref="A1:D1"/>
    <mergeCell ref="A2:D2"/>
    <mergeCell ref="B10:D10"/>
    <mergeCell ref="B21:D21"/>
    <mergeCell ref="A34:D34"/>
  </mergeCells>
  <dataValidations disablePrompts="1" count="3">
    <dataValidation type="list" allowBlank="1" sqref="B12:F12 B17:F17 B15:F15" xr:uid="{3E54C9AD-417D-DC4E-8A31-E2FDAEACE8EB}">
      <formula1>"Central,Peripheral"</formula1>
      <formula2>0</formula2>
    </dataValidation>
    <dataValidation type="list" allowBlank="1" sqref="B11:F11 B18:F20 B16:F16 B13:F14" xr:uid="{0415C18F-BE72-A540-9C57-FCCABCE0259C}">
      <formula1>"Y,N"</formula1>
      <formula2>0</formula2>
    </dataValidation>
    <dataValidation type="list" allowBlank="1" sqref="B4:F9" xr:uid="{5D5D1C84-FFDF-9B4B-BE84-BC41F9B46D17}">
      <formula1>"0,1,2,3,4"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C3CE-B16F-684C-876A-A972DCB34701}">
  <dimension ref="A1:E85"/>
  <sheetViews>
    <sheetView topLeftCell="A2" zoomScale="184" workbookViewId="0">
      <selection activeCell="B2" sqref="A2:E85"/>
    </sheetView>
  </sheetViews>
  <sheetFormatPr baseColWidth="10" defaultRowHeight="15" x14ac:dyDescent="0.2"/>
  <cols>
    <col min="1" max="1" width="8.1640625" customWidth="1"/>
    <col min="2" max="2" width="9" bestFit="1" customWidth="1"/>
    <col min="3" max="3" width="14.1640625" bestFit="1" customWidth="1"/>
    <col min="4" max="4" width="26.33203125" bestFit="1" customWidth="1"/>
    <col min="5" max="5" width="8" bestFit="1" customWidth="1"/>
  </cols>
  <sheetData>
    <row r="1" spans="1:5" x14ac:dyDescent="0.2">
      <c r="A1" t="s">
        <v>44</v>
      </c>
      <c r="B1" t="s">
        <v>56</v>
      </c>
      <c r="C1" t="s">
        <v>43</v>
      </c>
      <c r="D1" t="s">
        <v>57</v>
      </c>
      <c r="E1" t="s">
        <v>58</v>
      </c>
    </row>
    <row r="2" spans="1:5" x14ac:dyDescent="0.2">
      <c r="A2" t="s">
        <v>46</v>
      </c>
      <c r="B2" t="s">
        <v>3</v>
      </c>
      <c r="C2" t="s">
        <v>59</v>
      </c>
      <c r="D2" t="s">
        <v>60</v>
      </c>
      <c r="E2">
        <v>3</v>
      </c>
    </row>
    <row r="3" spans="1:5" x14ac:dyDescent="0.2">
      <c r="A3" t="s">
        <v>46</v>
      </c>
      <c r="B3" t="s">
        <v>4</v>
      </c>
      <c r="C3" t="s">
        <v>59</v>
      </c>
      <c r="D3" t="s">
        <v>60</v>
      </c>
      <c r="E3">
        <v>3</v>
      </c>
    </row>
    <row r="4" spans="1:5" x14ac:dyDescent="0.2">
      <c r="A4" t="s">
        <v>46</v>
      </c>
      <c r="B4" t="s">
        <v>5</v>
      </c>
      <c r="C4" t="s">
        <v>59</v>
      </c>
      <c r="D4" t="s">
        <v>60</v>
      </c>
      <c r="E4">
        <v>3</v>
      </c>
    </row>
    <row r="5" spans="1:5" x14ac:dyDescent="0.2">
      <c r="A5" t="s">
        <v>46</v>
      </c>
      <c r="B5" t="s">
        <v>6</v>
      </c>
      <c r="C5" t="s">
        <v>59</v>
      </c>
      <c r="D5" t="s">
        <v>60</v>
      </c>
      <c r="E5">
        <v>2</v>
      </c>
    </row>
    <row r="6" spans="1:5" x14ac:dyDescent="0.2">
      <c r="A6" t="s">
        <v>46</v>
      </c>
      <c r="B6" t="s">
        <v>3</v>
      </c>
      <c r="C6" t="s">
        <v>61</v>
      </c>
      <c r="D6" t="s">
        <v>62</v>
      </c>
      <c r="E6">
        <v>3</v>
      </c>
    </row>
    <row r="7" spans="1:5" x14ac:dyDescent="0.2">
      <c r="A7" t="s">
        <v>46</v>
      </c>
      <c r="B7" t="s">
        <v>4</v>
      </c>
      <c r="C7" t="s">
        <v>61</v>
      </c>
      <c r="D7" t="s">
        <v>62</v>
      </c>
      <c r="E7">
        <v>4</v>
      </c>
    </row>
    <row r="8" spans="1:5" x14ac:dyDescent="0.2">
      <c r="A8" t="s">
        <v>46</v>
      </c>
      <c r="B8" t="s">
        <v>5</v>
      </c>
      <c r="C8" t="s">
        <v>61</v>
      </c>
      <c r="D8" t="s">
        <v>62</v>
      </c>
      <c r="E8">
        <v>4</v>
      </c>
    </row>
    <row r="9" spans="1:5" x14ac:dyDescent="0.2">
      <c r="A9" t="s">
        <v>46</v>
      </c>
      <c r="B9" t="s">
        <v>6</v>
      </c>
      <c r="C9" t="s">
        <v>61</v>
      </c>
      <c r="D9" t="s">
        <v>62</v>
      </c>
      <c r="E9">
        <v>1</v>
      </c>
    </row>
    <row r="10" spans="1:5" x14ac:dyDescent="0.2">
      <c r="A10" t="s">
        <v>46</v>
      </c>
      <c r="B10" t="s">
        <v>3</v>
      </c>
      <c r="C10" t="s">
        <v>63</v>
      </c>
      <c r="D10" t="s">
        <v>64</v>
      </c>
      <c r="E10">
        <v>4</v>
      </c>
    </row>
    <row r="11" spans="1:5" x14ac:dyDescent="0.2">
      <c r="A11" t="s">
        <v>46</v>
      </c>
      <c r="B11" t="s">
        <v>4</v>
      </c>
      <c r="C11" t="s">
        <v>63</v>
      </c>
      <c r="D11" t="s">
        <v>64</v>
      </c>
      <c r="E11">
        <v>4</v>
      </c>
    </row>
    <row r="12" spans="1:5" x14ac:dyDescent="0.2">
      <c r="A12" t="s">
        <v>46</v>
      </c>
      <c r="B12" t="s">
        <v>5</v>
      </c>
      <c r="C12" t="s">
        <v>63</v>
      </c>
      <c r="D12" t="s">
        <v>64</v>
      </c>
      <c r="E12">
        <v>4</v>
      </c>
    </row>
    <row r="13" spans="1:5" x14ac:dyDescent="0.2">
      <c r="A13" t="s">
        <v>46</v>
      </c>
      <c r="B13" t="s">
        <v>6</v>
      </c>
      <c r="C13" t="s">
        <v>63</v>
      </c>
      <c r="D13" t="s">
        <v>64</v>
      </c>
      <c r="E13">
        <v>2</v>
      </c>
    </row>
    <row r="14" spans="1:5" x14ac:dyDescent="0.2">
      <c r="A14" t="s">
        <v>46</v>
      </c>
      <c r="B14" t="s">
        <v>3</v>
      </c>
      <c r="C14" t="s">
        <v>65</v>
      </c>
      <c r="D14" t="s">
        <v>66</v>
      </c>
      <c r="E14">
        <v>4</v>
      </c>
    </row>
    <row r="15" spans="1:5" x14ac:dyDescent="0.2">
      <c r="A15" t="s">
        <v>46</v>
      </c>
      <c r="B15" t="s">
        <v>4</v>
      </c>
      <c r="C15" t="s">
        <v>65</v>
      </c>
      <c r="D15" t="s">
        <v>66</v>
      </c>
      <c r="E15">
        <v>4</v>
      </c>
    </row>
    <row r="16" spans="1:5" x14ac:dyDescent="0.2">
      <c r="A16" t="s">
        <v>46</v>
      </c>
      <c r="B16" t="s">
        <v>5</v>
      </c>
      <c r="C16" t="s">
        <v>65</v>
      </c>
      <c r="D16" t="s">
        <v>66</v>
      </c>
      <c r="E16">
        <v>4</v>
      </c>
    </row>
    <row r="17" spans="1:5" x14ac:dyDescent="0.2">
      <c r="A17" t="s">
        <v>46</v>
      </c>
      <c r="B17" t="s">
        <v>6</v>
      </c>
      <c r="C17" t="s">
        <v>65</v>
      </c>
      <c r="D17" t="s">
        <v>66</v>
      </c>
      <c r="E17">
        <v>1</v>
      </c>
    </row>
    <row r="18" spans="1:5" x14ac:dyDescent="0.2">
      <c r="A18" t="s">
        <v>46</v>
      </c>
      <c r="B18" t="s">
        <v>3</v>
      </c>
      <c r="C18" t="s">
        <v>67</v>
      </c>
      <c r="D18" t="s">
        <v>68</v>
      </c>
      <c r="E18">
        <v>3</v>
      </c>
    </row>
    <row r="19" spans="1:5" x14ac:dyDescent="0.2">
      <c r="A19" t="s">
        <v>46</v>
      </c>
      <c r="B19" t="s">
        <v>4</v>
      </c>
      <c r="C19" t="s">
        <v>67</v>
      </c>
      <c r="D19" t="s">
        <v>68</v>
      </c>
      <c r="E19">
        <v>3</v>
      </c>
    </row>
    <row r="20" spans="1:5" x14ac:dyDescent="0.2">
      <c r="A20" t="s">
        <v>46</v>
      </c>
      <c r="B20" t="s">
        <v>5</v>
      </c>
      <c r="C20" t="s">
        <v>67</v>
      </c>
      <c r="D20" t="s">
        <v>68</v>
      </c>
      <c r="E20">
        <v>4</v>
      </c>
    </row>
    <row r="21" spans="1:5" x14ac:dyDescent="0.2">
      <c r="A21" t="s">
        <v>46</v>
      </c>
      <c r="B21" t="s">
        <v>6</v>
      </c>
      <c r="C21" t="s">
        <v>67</v>
      </c>
      <c r="D21" t="s">
        <v>68</v>
      </c>
      <c r="E21">
        <v>1</v>
      </c>
    </row>
    <row r="22" spans="1:5" x14ac:dyDescent="0.2">
      <c r="A22" t="s">
        <v>46</v>
      </c>
      <c r="B22" t="s">
        <v>3</v>
      </c>
      <c r="C22" t="s">
        <v>69</v>
      </c>
      <c r="D22" t="s">
        <v>70</v>
      </c>
      <c r="E22">
        <v>4</v>
      </c>
    </row>
    <row r="23" spans="1:5" x14ac:dyDescent="0.2">
      <c r="A23" t="s">
        <v>46</v>
      </c>
      <c r="B23" t="s">
        <v>4</v>
      </c>
      <c r="C23" t="s">
        <v>69</v>
      </c>
      <c r="D23" t="s">
        <v>70</v>
      </c>
      <c r="E23">
        <v>4</v>
      </c>
    </row>
    <row r="24" spans="1:5" x14ac:dyDescent="0.2">
      <c r="A24" t="s">
        <v>46</v>
      </c>
      <c r="B24" t="s">
        <v>5</v>
      </c>
      <c r="C24" t="s">
        <v>69</v>
      </c>
      <c r="D24" t="s">
        <v>70</v>
      </c>
      <c r="E24">
        <v>4</v>
      </c>
    </row>
    <row r="25" spans="1:5" x14ac:dyDescent="0.2">
      <c r="A25" t="s">
        <v>46</v>
      </c>
      <c r="B25" t="s">
        <v>6</v>
      </c>
      <c r="C25" t="s">
        <v>69</v>
      </c>
      <c r="D25" t="s">
        <v>70</v>
      </c>
      <c r="E25">
        <v>1</v>
      </c>
    </row>
    <row r="26" spans="1:5" x14ac:dyDescent="0.2">
      <c r="A26" t="s">
        <v>46</v>
      </c>
      <c r="B26" t="s">
        <v>3</v>
      </c>
      <c r="C26" t="s">
        <v>71</v>
      </c>
      <c r="D26" t="s">
        <v>55</v>
      </c>
      <c r="E26">
        <v>76</v>
      </c>
    </row>
    <row r="27" spans="1:5" x14ac:dyDescent="0.2">
      <c r="A27" t="s">
        <v>46</v>
      </c>
      <c r="B27" t="s">
        <v>4</v>
      </c>
      <c r="C27" t="s">
        <v>71</v>
      </c>
      <c r="D27" t="s">
        <v>55</v>
      </c>
      <c r="E27">
        <v>83</v>
      </c>
    </row>
    <row r="28" spans="1:5" x14ac:dyDescent="0.2">
      <c r="A28" t="s">
        <v>46</v>
      </c>
      <c r="B28" t="s">
        <v>5</v>
      </c>
      <c r="C28" t="s">
        <v>71</v>
      </c>
      <c r="D28" t="s">
        <v>55</v>
      </c>
      <c r="E28">
        <v>85</v>
      </c>
    </row>
    <row r="29" spans="1:5" x14ac:dyDescent="0.2">
      <c r="A29" t="s">
        <v>46</v>
      </c>
      <c r="B29" t="s">
        <v>6</v>
      </c>
      <c r="C29" t="s">
        <v>71</v>
      </c>
      <c r="D29" t="s">
        <v>55</v>
      </c>
      <c r="E29">
        <v>30</v>
      </c>
    </row>
    <row r="30" spans="1:5" x14ac:dyDescent="0.2">
      <c r="A30" t="s">
        <v>47</v>
      </c>
      <c r="B30" t="s">
        <v>3</v>
      </c>
      <c r="C30" t="s">
        <v>59</v>
      </c>
      <c r="D30" t="s">
        <v>60</v>
      </c>
      <c r="E30">
        <v>2</v>
      </c>
    </row>
    <row r="31" spans="1:5" x14ac:dyDescent="0.2">
      <c r="A31" t="s">
        <v>47</v>
      </c>
      <c r="B31" t="s">
        <v>4</v>
      </c>
      <c r="C31" t="s">
        <v>59</v>
      </c>
      <c r="D31" t="s">
        <v>60</v>
      </c>
      <c r="E31">
        <v>3</v>
      </c>
    </row>
    <row r="32" spans="1:5" x14ac:dyDescent="0.2">
      <c r="A32" t="s">
        <v>47</v>
      </c>
      <c r="B32" t="s">
        <v>5</v>
      </c>
      <c r="C32" t="s">
        <v>59</v>
      </c>
      <c r="D32" t="s">
        <v>60</v>
      </c>
      <c r="E32">
        <v>3</v>
      </c>
    </row>
    <row r="33" spans="1:5" x14ac:dyDescent="0.2">
      <c r="A33" t="s">
        <v>47</v>
      </c>
      <c r="B33" t="s">
        <v>6</v>
      </c>
      <c r="C33" t="s">
        <v>59</v>
      </c>
      <c r="D33" t="s">
        <v>60</v>
      </c>
      <c r="E33">
        <v>1</v>
      </c>
    </row>
    <row r="34" spans="1:5" x14ac:dyDescent="0.2">
      <c r="A34" t="s">
        <v>47</v>
      </c>
      <c r="B34" t="s">
        <v>3</v>
      </c>
      <c r="C34" t="s">
        <v>61</v>
      </c>
      <c r="D34" t="s">
        <v>62</v>
      </c>
      <c r="E34">
        <v>2</v>
      </c>
    </row>
    <row r="35" spans="1:5" x14ac:dyDescent="0.2">
      <c r="A35" t="s">
        <v>47</v>
      </c>
      <c r="B35" t="s">
        <v>4</v>
      </c>
      <c r="C35" t="s">
        <v>61</v>
      </c>
      <c r="D35" t="s">
        <v>62</v>
      </c>
      <c r="E35">
        <v>3</v>
      </c>
    </row>
    <row r="36" spans="1:5" x14ac:dyDescent="0.2">
      <c r="A36" t="s">
        <v>47</v>
      </c>
      <c r="B36" t="s">
        <v>5</v>
      </c>
      <c r="C36" t="s">
        <v>61</v>
      </c>
      <c r="D36" t="s">
        <v>62</v>
      </c>
      <c r="E36">
        <v>3</v>
      </c>
    </row>
    <row r="37" spans="1:5" x14ac:dyDescent="0.2">
      <c r="A37" t="s">
        <v>47</v>
      </c>
      <c r="B37" t="s">
        <v>6</v>
      </c>
      <c r="C37" t="s">
        <v>61</v>
      </c>
      <c r="D37" t="s">
        <v>62</v>
      </c>
      <c r="E37">
        <v>1</v>
      </c>
    </row>
    <row r="38" spans="1:5" x14ac:dyDescent="0.2">
      <c r="A38" t="s">
        <v>47</v>
      </c>
      <c r="B38" t="s">
        <v>3</v>
      </c>
      <c r="C38" t="s">
        <v>63</v>
      </c>
      <c r="D38" t="s">
        <v>64</v>
      </c>
      <c r="E38">
        <v>2</v>
      </c>
    </row>
    <row r="39" spans="1:5" x14ac:dyDescent="0.2">
      <c r="A39" t="s">
        <v>47</v>
      </c>
      <c r="B39" t="s">
        <v>4</v>
      </c>
      <c r="C39" t="s">
        <v>63</v>
      </c>
      <c r="D39" t="s">
        <v>64</v>
      </c>
      <c r="E39">
        <v>3</v>
      </c>
    </row>
    <row r="40" spans="1:5" x14ac:dyDescent="0.2">
      <c r="A40" t="s">
        <v>47</v>
      </c>
      <c r="B40" t="s">
        <v>5</v>
      </c>
      <c r="C40" t="s">
        <v>63</v>
      </c>
      <c r="D40" t="s">
        <v>64</v>
      </c>
      <c r="E40">
        <v>3</v>
      </c>
    </row>
    <row r="41" spans="1:5" x14ac:dyDescent="0.2">
      <c r="A41" t="s">
        <v>47</v>
      </c>
      <c r="B41" t="s">
        <v>6</v>
      </c>
      <c r="C41" t="s">
        <v>63</v>
      </c>
      <c r="D41" t="s">
        <v>64</v>
      </c>
      <c r="E41">
        <v>1</v>
      </c>
    </row>
    <row r="42" spans="1:5" x14ac:dyDescent="0.2">
      <c r="A42" t="s">
        <v>47</v>
      </c>
      <c r="B42" t="s">
        <v>3</v>
      </c>
      <c r="C42" t="s">
        <v>65</v>
      </c>
      <c r="D42" t="s">
        <v>66</v>
      </c>
      <c r="E42">
        <v>3</v>
      </c>
    </row>
    <row r="43" spans="1:5" x14ac:dyDescent="0.2">
      <c r="A43" t="s">
        <v>47</v>
      </c>
      <c r="B43" t="s">
        <v>4</v>
      </c>
      <c r="C43" t="s">
        <v>65</v>
      </c>
      <c r="D43" t="s">
        <v>66</v>
      </c>
      <c r="E43">
        <v>4</v>
      </c>
    </row>
    <row r="44" spans="1:5" x14ac:dyDescent="0.2">
      <c r="A44" t="s">
        <v>47</v>
      </c>
      <c r="B44" t="s">
        <v>5</v>
      </c>
      <c r="C44" t="s">
        <v>65</v>
      </c>
      <c r="D44" t="s">
        <v>66</v>
      </c>
      <c r="E44">
        <v>4</v>
      </c>
    </row>
    <row r="45" spans="1:5" x14ac:dyDescent="0.2">
      <c r="A45" t="s">
        <v>47</v>
      </c>
      <c r="B45" t="s">
        <v>6</v>
      </c>
      <c r="C45" t="s">
        <v>65</v>
      </c>
      <c r="D45" t="s">
        <v>66</v>
      </c>
      <c r="E45">
        <v>0</v>
      </c>
    </row>
    <row r="46" spans="1:5" x14ac:dyDescent="0.2">
      <c r="A46" t="s">
        <v>47</v>
      </c>
      <c r="B46" t="s">
        <v>3</v>
      </c>
      <c r="C46" t="s">
        <v>67</v>
      </c>
      <c r="D46" t="s">
        <v>68</v>
      </c>
      <c r="E46">
        <v>2</v>
      </c>
    </row>
    <row r="47" spans="1:5" x14ac:dyDescent="0.2">
      <c r="A47" t="s">
        <v>47</v>
      </c>
      <c r="B47" t="s">
        <v>4</v>
      </c>
      <c r="C47" t="s">
        <v>67</v>
      </c>
      <c r="D47" t="s">
        <v>68</v>
      </c>
      <c r="E47">
        <v>3</v>
      </c>
    </row>
    <row r="48" spans="1:5" x14ac:dyDescent="0.2">
      <c r="A48" t="s">
        <v>47</v>
      </c>
      <c r="B48" t="s">
        <v>5</v>
      </c>
      <c r="C48" t="s">
        <v>67</v>
      </c>
      <c r="D48" t="s">
        <v>68</v>
      </c>
      <c r="E48">
        <v>4</v>
      </c>
    </row>
    <row r="49" spans="1:5" x14ac:dyDescent="0.2">
      <c r="A49" t="s">
        <v>47</v>
      </c>
      <c r="B49" t="s">
        <v>6</v>
      </c>
      <c r="C49" t="s">
        <v>67</v>
      </c>
      <c r="D49" t="s">
        <v>68</v>
      </c>
      <c r="E49">
        <v>1</v>
      </c>
    </row>
    <row r="50" spans="1:5" x14ac:dyDescent="0.2">
      <c r="A50" t="s">
        <v>47</v>
      </c>
      <c r="B50" t="s">
        <v>3</v>
      </c>
      <c r="C50" t="s">
        <v>69</v>
      </c>
      <c r="D50" t="s">
        <v>70</v>
      </c>
      <c r="E50">
        <v>2</v>
      </c>
    </row>
    <row r="51" spans="1:5" x14ac:dyDescent="0.2">
      <c r="A51" t="s">
        <v>47</v>
      </c>
      <c r="B51" t="s">
        <v>4</v>
      </c>
      <c r="C51" t="s">
        <v>69</v>
      </c>
      <c r="D51" t="s">
        <v>70</v>
      </c>
      <c r="E51">
        <v>4</v>
      </c>
    </row>
    <row r="52" spans="1:5" x14ac:dyDescent="0.2">
      <c r="A52" t="s">
        <v>47</v>
      </c>
      <c r="B52" t="s">
        <v>5</v>
      </c>
      <c r="C52" t="s">
        <v>69</v>
      </c>
      <c r="D52" t="s">
        <v>70</v>
      </c>
      <c r="E52">
        <v>4</v>
      </c>
    </row>
    <row r="53" spans="1:5" x14ac:dyDescent="0.2">
      <c r="A53" t="s">
        <v>47</v>
      </c>
      <c r="B53" t="s">
        <v>6</v>
      </c>
      <c r="C53" t="s">
        <v>69</v>
      </c>
      <c r="D53" t="s">
        <v>70</v>
      </c>
      <c r="E53">
        <v>0</v>
      </c>
    </row>
    <row r="54" spans="1:5" x14ac:dyDescent="0.2">
      <c r="A54" t="s">
        <v>47</v>
      </c>
      <c r="B54" t="s">
        <v>3</v>
      </c>
      <c r="C54" t="s">
        <v>71</v>
      </c>
      <c r="D54" t="s">
        <v>55</v>
      </c>
      <c r="E54">
        <v>30</v>
      </c>
    </row>
    <row r="55" spans="1:5" x14ac:dyDescent="0.2">
      <c r="A55" t="s">
        <v>47</v>
      </c>
      <c r="B55" t="s">
        <v>4</v>
      </c>
      <c r="C55" t="s">
        <v>71</v>
      </c>
      <c r="D55" t="s">
        <v>55</v>
      </c>
      <c r="E55">
        <v>81</v>
      </c>
    </row>
    <row r="56" spans="1:5" x14ac:dyDescent="0.2">
      <c r="A56" t="s">
        <v>47</v>
      </c>
      <c r="B56" t="s">
        <v>5</v>
      </c>
      <c r="C56" t="s">
        <v>71</v>
      </c>
      <c r="D56" t="s">
        <v>55</v>
      </c>
      <c r="E56">
        <v>69</v>
      </c>
    </row>
    <row r="57" spans="1:5" x14ac:dyDescent="0.2">
      <c r="A57" t="s">
        <v>47</v>
      </c>
      <c r="B57" t="s">
        <v>6</v>
      </c>
      <c r="C57" t="s">
        <v>71</v>
      </c>
      <c r="D57" t="s">
        <v>55</v>
      </c>
      <c r="E57">
        <v>14</v>
      </c>
    </row>
    <row r="58" spans="1:5" x14ac:dyDescent="0.2">
      <c r="A58" t="s">
        <v>48</v>
      </c>
      <c r="B58" t="s">
        <v>3</v>
      </c>
      <c r="C58" t="s">
        <v>59</v>
      </c>
      <c r="D58" t="s">
        <v>60</v>
      </c>
      <c r="E58">
        <v>4</v>
      </c>
    </row>
    <row r="59" spans="1:5" x14ac:dyDescent="0.2">
      <c r="A59" t="s">
        <v>48</v>
      </c>
      <c r="B59" t="s">
        <v>4</v>
      </c>
      <c r="C59" t="s">
        <v>59</v>
      </c>
      <c r="D59" t="s">
        <v>60</v>
      </c>
      <c r="E59">
        <v>4</v>
      </c>
    </row>
    <row r="60" spans="1:5" x14ac:dyDescent="0.2">
      <c r="A60" t="s">
        <v>48</v>
      </c>
      <c r="B60" t="s">
        <v>5</v>
      </c>
      <c r="C60" t="s">
        <v>59</v>
      </c>
      <c r="D60" t="s">
        <v>60</v>
      </c>
      <c r="E60">
        <v>4</v>
      </c>
    </row>
    <row r="61" spans="1:5" x14ac:dyDescent="0.2">
      <c r="A61" t="s">
        <v>48</v>
      </c>
      <c r="B61" t="s">
        <v>6</v>
      </c>
      <c r="C61" t="s">
        <v>59</v>
      </c>
      <c r="D61" t="s">
        <v>60</v>
      </c>
      <c r="E61">
        <v>3</v>
      </c>
    </row>
    <row r="62" spans="1:5" x14ac:dyDescent="0.2">
      <c r="A62" t="s">
        <v>48</v>
      </c>
      <c r="B62" t="s">
        <v>3</v>
      </c>
      <c r="C62" t="s">
        <v>61</v>
      </c>
      <c r="D62" t="s">
        <v>62</v>
      </c>
      <c r="E62">
        <v>3</v>
      </c>
    </row>
    <row r="63" spans="1:5" x14ac:dyDescent="0.2">
      <c r="A63" t="s">
        <v>48</v>
      </c>
      <c r="B63" t="s">
        <v>4</v>
      </c>
      <c r="C63" t="s">
        <v>61</v>
      </c>
      <c r="D63" t="s">
        <v>62</v>
      </c>
      <c r="E63">
        <v>4</v>
      </c>
    </row>
    <row r="64" spans="1:5" x14ac:dyDescent="0.2">
      <c r="A64" t="s">
        <v>48</v>
      </c>
      <c r="B64" t="s">
        <v>5</v>
      </c>
      <c r="C64" t="s">
        <v>61</v>
      </c>
      <c r="D64" t="s">
        <v>62</v>
      </c>
      <c r="E64">
        <v>4</v>
      </c>
    </row>
    <row r="65" spans="1:5" x14ac:dyDescent="0.2">
      <c r="A65" t="s">
        <v>48</v>
      </c>
      <c r="B65" t="s">
        <v>6</v>
      </c>
      <c r="C65" t="s">
        <v>61</v>
      </c>
      <c r="D65" t="s">
        <v>62</v>
      </c>
      <c r="E65">
        <v>0</v>
      </c>
    </row>
    <row r="66" spans="1:5" x14ac:dyDescent="0.2">
      <c r="A66" t="s">
        <v>48</v>
      </c>
      <c r="B66" t="s">
        <v>3</v>
      </c>
      <c r="C66" t="s">
        <v>63</v>
      </c>
      <c r="D66" t="s">
        <v>64</v>
      </c>
      <c r="E66">
        <v>4</v>
      </c>
    </row>
    <row r="67" spans="1:5" x14ac:dyDescent="0.2">
      <c r="A67" t="s">
        <v>48</v>
      </c>
      <c r="B67" t="s">
        <v>4</v>
      </c>
      <c r="C67" t="s">
        <v>63</v>
      </c>
      <c r="D67" t="s">
        <v>64</v>
      </c>
      <c r="E67">
        <v>4</v>
      </c>
    </row>
    <row r="68" spans="1:5" x14ac:dyDescent="0.2">
      <c r="A68" t="s">
        <v>48</v>
      </c>
      <c r="B68" t="s">
        <v>5</v>
      </c>
      <c r="C68" t="s">
        <v>63</v>
      </c>
      <c r="D68" t="s">
        <v>64</v>
      </c>
      <c r="E68">
        <v>4</v>
      </c>
    </row>
    <row r="69" spans="1:5" x14ac:dyDescent="0.2">
      <c r="A69" t="s">
        <v>48</v>
      </c>
      <c r="B69" t="s">
        <v>6</v>
      </c>
      <c r="C69" t="s">
        <v>63</v>
      </c>
      <c r="D69" t="s">
        <v>64</v>
      </c>
      <c r="E69">
        <v>2</v>
      </c>
    </row>
    <row r="70" spans="1:5" x14ac:dyDescent="0.2">
      <c r="A70" t="s">
        <v>48</v>
      </c>
      <c r="B70" t="s">
        <v>3</v>
      </c>
      <c r="C70" t="s">
        <v>65</v>
      </c>
      <c r="D70" t="s">
        <v>66</v>
      </c>
      <c r="E70">
        <v>4</v>
      </c>
    </row>
    <row r="71" spans="1:5" x14ac:dyDescent="0.2">
      <c r="A71" t="s">
        <v>48</v>
      </c>
      <c r="B71" t="s">
        <v>4</v>
      </c>
      <c r="C71" t="s">
        <v>65</v>
      </c>
      <c r="D71" t="s">
        <v>66</v>
      </c>
      <c r="E71">
        <v>4</v>
      </c>
    </row>
    <row r="72" spans="1:5" x14ac:dyDescent="0.2">
      <c r="A72" t="s">
        <v>48</v>
      </c>
      <c r="B72" t="s">
        <v>5</v>
      </c>
      <c r="C72" t="s">
        <v>65</v>
      </c>
      <c r="D72" t="s">
        <v>66</v>
      </c>
      <c r="E72">
        <v>4</v>
      </c>
    </row>
    <row r="73" spans="1:5" x14ac:dyDescent="0.2">
      <c r="A73" t="s">
        <v>48</v>
      </c>
      <c r="B73" t="s">
        <v>6</v>
      </c>
      <c r="C73" t="s">
        <v>65</v>
      </c>
      <c r="D73" t="s">
        <v>66</v>
      </c>
      <c r="E73">
        <v>1</v>
      </c>
    </row>
    <row r="74" spans="1:5" x14ac:dyDescent="0.2">
      <c r="A74" t="s">
        <v>48</v>
      </c>
      <c r="B74" t="s">
        <v>3</v>
      </c>
      <c r="C74" t="s">
        <v>67</v>
      </c>
      <c r="D74" t="s">
        <v>68</v>
      </c>
      <c r="E74">
        <v>4</v>
      </c>
    </row>
    <row r="75" spans="1:5" x14ac:dyDescent="0.2">
      <c r="A75" t="s">
        <v>48</v>
      </c>
      <c r="B75" t="s">
        <v>4</v>
      </c>
      <c r="C75" t="s">
        <v>67</v>
      </c>
      <c r="D75" t="s">
        <v>68</v>
      </c>
      <c r="E75">
        <v>4</v>
      </c>
    </row>
    <row r="76" spans="1:5" x14ac:dyDescent="0.2">
      <c r="A76" t="s">
        <v>48</v>
      </c>
      <c r="B76" t="s">
        <v>5</v>
      </c>
      <c r="C76" t="s">
        <v>67</v>
      </c>
      <c r="D76" t="s">
        <v>68</v>
      </c>
      <c r="E76">
        <v>4</v>
      </c>
    </row>
    <row r="77" spans="1:5" x14ac:dyDescent="0.2">
      <c r="A77" t="s">
        <v>48</v>
      </c>
      <c r="B77" t="s">
        <v>6</v>
      </c>
      <c r="C77" t="s">
        <v>67</v>
      </c>
      <c r="D77" t="s">
        <v>68</v>
      </c>
      <c r="E77">
        <v>2</v>
      </c>
    </row>
    <row r="78" spans="1:5" x14ac:dyDescent="0.2">
      <c r="A78" t="s">
        <v>48</v>
      </c>
      <c r="B78" t="s">
        <v>3</v>
      </c>
      <c r="C78" t="s">
        <v>69</v>
      </c>
      <c r="D78" t="s">
        <v>70</v>
      </c>
      <c r="E78">
        <v>4</v>
      </c>
    </row>
    <row r="79" spans="1:5" x14ac:dyDescent="0.2">
      <c r="A79" t="s">
        <v>48</v>
      </c>
      <c r="B79" t="s">
        <v>4</v>
      </c>
      <c r="C79" t="s">
        <v>69</v>
      </c>
      <c r="D79" t="s">
        <v>70</v>
      </c>
      <c r="E79">
        <v>4</v>
      </c>
    </row>
    <row r="80" spans="1:5" x14ac:dyDescent="0.2">
      <c r="A80" t="s">
        <v>48</v>
      </c>
      <c r="B80" t="s">
        <v>5</v>
      </c>
      <c r="C80" t="s">
        <v>69</v>
      </c>
      <c r="D80" t="s">
        <v>70</v>
      </c>
      <c r="E80">
        <v>4</v>
      </c>
    </row>
    <row r="81" spans="1:5" x14ac:dyDescent="0.2">
      <c r="A81" t="s">
        <v>48</v>
      </c>
      <c r="B81" t="s">
        <v>6</v>
      </c>
      <c r="C81" t="s">
        <v>69</v>
      </c>
      <c r="D81" t="s">
        <v>70</v>
      </c>
      <c r="E81">
        <v>1</v>
      </c>
    </row>
    <row r="82" spans="1:5" x14ac:dyDescent="0.2">
      <c r="A82" t="s">
        <v>48</v>
      </c>
      <c r="B82" t="s">
        <v>3</v>
      </c>
      <c r="C82" t="s">
        <v>71</v>
      </c>
      <c r="D82" t="s">
        <v>55</v>
      </c>
      <c r="E82">
        <v>94</v>
      </c>
    </row>
    <row r="83" spans="1:5" x14ac:dyDescent="0.2">
      <c r="A83" t="s">
        <v>48</v>
      </c>
      <c r="B83" t="s">
        <v>4</v>
      </c>
      <c r="C83" t="s">
        <v>71</v>
      </c>
      <c r="D83" t="s">
        <v>55</v>
      </c>
      <c r="E83">
        <v>85</v>
      </c>
    </row>
    <row r="84" spans="1:5" x14ac:dyDescent="0.2">
      <c r="A84" t="s">
        <v>48</v>
      </c>
      <c r="B84" t="s">
        <v>5</v>
      </c>
      <c r="C84" t="s">
        <v>71</v>
      </c>
      <c r="D84" t="s">
        <v>55</v>
      </c>
      <c r="E84">
        <v>100</v>
      </c>
    </row>
    <row r="85" spans="1:5" x14ac:dyDescent="0.2">
      <c r="A85" t="s">
        <v>48</v>
      </c>
      <c r="B85" t="s">
        <v>6</v>
      </c>
      <c r="C85" t="s">
        <v>71</v>
      </c>
      <c r="D85" t="s">
        <v>55</v>
      </c>
      <c r="E85">
        <v>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27C8-5FAE-4C43-B44F-0D929DDE1439}">
  <dimension ref="A1:G34"/>
  <sheetViews>
    <sheetView showGridLines="0" zoomScaleNormal="100" workbookViewId="0">
      <selection activeCell="F25" sqref="F25"/>
    </sheetView>
  </sheetViews>
  <sheetFormatPr baseColWidth="10" defaultColWidth="8.6640625" defaultRowHeight="15" x14ac:dyDescent="0.2"/>
  <cols>
    <col min="1" max="1" width="42" customWidth="1"/>
    <col min="2" max="7" width="14" customWidth="1"/>
  </cols>
  <sheetData>
    <row r="1" spans="1:7" ht="24" customHeight="1" x14ac:dyDescent="0.2">
      <c r="A1" s="36" t="s">
        <v>0</v>
      </c>
      <c r="B1" s="36"/>
      <c r="C1" s="36"/>
      <c r="D1" s="36"/>
      <c r="E1" s="36"/>
      <c r="F1" s="36"/>
      <c r="G1" s="36"/>
    </row>
    <row r="2" spans="1:7" ht="25.5" customHeight="1" x14ac:dyDescent="0.2">
      <c r="A2" s="37" t="s">
        <v>1</v>
      </c>
      <c r="B2" s="37"/>
      <c r="C2" s="37"/>
      <c r="D2" s="37"/>
      <c r="E2" s="37"/>
      <c r="F2" s="37"/>
      <c r="G2" s="37"/>
    </row>
    <row r="3" spans="1:7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9</v>
      </c>
      <c r="B4" s="3">
        <v>4</v>
      </c>
      <c r="C4" s="3">
        <v>4</v>
      </c>
      <c r="D4" s="3">
        <v>4</v>
      </c>
      <c r="E4" s="3">
        <v>3</v>
      </c>
      <c r="F4" s="3"/>
      <c r="G4" s="3"/>
    </row>
    <row r="5" spans="1:7" x14ac:dyDescent="0.2">
      <c r="A5" s="2" t="s">
        <v>10</v>
      </c>
      <c r="B5" s="3">
        <v>3</v>
      </c>
      <c r="C5" s="3">
        <v>4</v>
      </c>
      <c r="D5" s="3">
        <v>4</v>
      </c>
      <c r="E5" s="3">
        <v>0</v>
      </c>
      <c r="F5" s="3"/>
      <c r="G5" s="3"/>
    </row>
    <row r="6" spans="1:7" x14ac:dyDescent="0.2">
      <c r="A6" s="2" t="s">
        <v>11</v>
      </c>
      <c r="B6" s="3">
        <v>4</v>
      </c>
      <c r="C6" s="3">
        <v>4</v>
      </c>
      <c r="D6" s="3">
        <v>4</v>
      </c>
      <c r="E6" s="3">
        <v>2</v>
      </c>
      <c r="F6" s="3"/>
      <c r="G6" s="3"/>
    </row>
    <row r="7" spans="1:7" x14ac:dyDescent="0.2">
      <c r="A7" s="2" t="s">
        <v>12</v>
      </c>
      <c r="B7" s="3">
        <v>4</v>
      </c>
      <c r="C7" s="3">
        <v>4</v>
      </c>
      <c r="D7" s="3">
        <v>4</v>
      </c>
      <c r="E7" s="3">
        <v>1</v>
      </c>
      <c r="F7" s="3"/>
      <c r="G7" s="3"/>
    </row>
    <row r="8" spans="1:7" x14ac:dyDescent="0.2">
      <c r="A8" s="2" t="s">
        <v>13</v>
      </c>
      <c r="B8" s="3">
        <v>4</v>
      </c>
      <c r="C8" s="3">
        <v>4</v>
      </c>
      <c r="D8" s="3">
        <v>4</v>
      </c>
      <c r="E8" s="3">
        <v>2</v>
      </c>
      <c r="F8" s="3"/>
      <c r="G8" s="3"/>
    </row>
    <row r="9" spans="1:7" x14ac:dyDescent="0.2">
      <c r="A9" s="2" t="s">
        <v>14</v>
      </c>
      <c r="B9" s="3">
        <v>4</v>
      </c>
      <c r="C9" s="3">
        <v>4</v>
      </c>
      <c r="D9" s="3">
        <v>4</v>
      </c>
      <c r="E9" s="3">
        <v>1</v>
      </c>
      <c r="F9" s="3"/>
      <c r="G9" s="3"/>
    </row>
    <row r="10" spans="1:7" x14ac:dyDescent="0.2">
      <c r="A10" s="4" t="s">
        <v>15</v>
      </c>
      <c r="B10" s="38"/>
      <c r="C10" s="38"/>
      <c r="D10" s="38"/>
      <c r="E10" s="38"/>
      <c r="F10" s="38"/>
      <c r="G10" s="38"/>
    </row>
    <row r="11" spans="1:7" x14ac:dyDescent="0.2">
      <c r="A11" s="5" t="s">
        <v>16</v>
      </c>
      <c r="B11" s="6" t="s">
        <v>17</v>
      </c>
      <c r="C11" s="6" t="s">
        <v>17</v>
      </c>
      <c r="D11" s="6" t="s">
        <v>17</v>
      </c>
      <c r="E11" s="6" t="s">
        <v>26</v>
      </c>
      <c r="F11" s="6" t="s">
        <v>17</v>
      </c>
      <c r="G11" s="6" t="s">
        <v>17</v>
      </c>
    </row>
    <row r="12" spans="1:7" x14ac:dyDescent="0.2">
      <c r="A12" s="5" t="s">
        <v>18</v>
      </c>
      <c r="B12" s="6" t="s">
        <v>19</v>
      </c>
      <c r="C12" s="6" t="s">
        <v>19</v>
      </c>
      <c r="D12" s="6" t="s">
        <v>19</v>
      </c>
      <c r="E12" s="6" t="s">
        <v>19</v>
      </c>
      <c r="F12" s="6" t="s">
        <v>19</v>
      </c>
      <c r="G12" s="6" t="s">
        <v>19</v>
      </c>
    </row>
    <row r="13" spans="1:7" x14ac:dyDescent="0.2">
      <c r="A13" s="5" t="s">
        <v>20</v>
      </c>
      <c r="B13" s="6" t="s">
        <v>17</v>
      </c>
      <c r="C13" s="6" t="s">
        <v>17</v>
      </c>
      <c r="D13" s="6" t="s">
        <v>17</v>
      </c>
      <c r="E13" s="6" t="s">
        <v>17</v>
      </c>
      <c r="F13" s="6" t="s">
        <v>17</v>
      </c>
      <c r="G13" s="6" t="s">
        <v>17</v>
      </c>
    </row>
    <row r="14" spans="1:7" x14ac:dyDescent="0.2">
      <c r="A14" s="5" t="s">
        <v>21</v>
      </c>
      <c r="B14" s="6" t="s">
        <v>17</v>
      </c>
      <c r="C14" s="6" t="s">
        <v>26</v>
      </c>
      <c r="D14" s="6" t="s">
        <v>17</v>
      </c>
      <c r="E14" s="6" t="s">
        <v>17</v>
      </c>
      <c r="F14" s="6" t="s">
        <v>17</v>
      </c>
      <c r="G14" s="6" t="s">
        <v>17</v>
      </c>
    </row>
    <row r="15" spans="1:7" x14ac:dyDescent="0.2">
      <c r="A15" s="5" t="s">
        <v>22</v>
      </c>
      <c r="B15" s="6" t="s">
        <v>19</v>
      </c>
      <c r="C15" s="6" t="s">
        <v>41</v>
      </c>
      <c r="D15" s="6" t="s">
        <v>19</v>
      </c>
      <c r="E15" s="6" t="s">
        <v>19</v>
      </c>
      <c r="F15" s="6" t="s">
        <v>19</v>
      </c>
      <c r="G15" s="6" t="s">
        <v>19</v>
      </c>
    </row>
    <row r="16" spans="1:7" x14ac:dyDescent="0.2">
      <c r="A16" s="5" t="s">
        <v>23</v>
      </c>
      <c r="B16" s="6" t="s">
        <v>17</v>
      </c>
      <c r="C16" s="6" t="s">
        <v>17</v>
      </c>
      <c r="D16" s="6" t="s">
        <v>17</v>
      </c>
      <c r="E16" s="6" t="s">
        <v>17</v>
      </c>
      <c r="F16" s="6" t="s">
        <v>17</v>
      </c>
      <c r="G16" s="6" t="s">
        <v>17</v>
      </c>
    </row>
    <row r="17" spans="1:7" x14ac:dyDescent="0.2">
      <c r="A17" s="5" t="s">
        <v>24</v>
      </c>
      <c r="B17" s="6" t="s">
        <v>19</v>
      </c>
      <c r="C17" s="6" t="s">
        <v>19</v>
      </c>
      <c r="D17" s="6" t="s">
        <v>19</v>
      </c>
      <c r="E17" s="6" t="s">
        <v>19</v>
      </c>
      <c r="F17" s="6" t="s">
        <v>19</v>
      </c>
      <c r="G17" s="6" t="s">
        <v>19</v>
      </c>
    </row>
    <row r="18" spans="1:7" x14ac:dyDescent="0.2">
      <c r="A18" s="5" t="s">
        <v>25</v>
      </c>
      <c r="B18" s="6" t="s">
        <v>17</v>
      </c>
      <c r="C18" s="6" t="s">
        <v>17</v>
      </c>
      <c r="D18" s="6" t="s">
        <v>17</v>
      </c>
      <c r="E18" s="6" t="s">
        <v>26</v>
      </c>
      <c r="F18" s="6" t="s">
        <v>17</v>
      </c>
      <c r="G18" s="6" t="s">
        <v>17</v>
      </c>
    </row>
    <row r="19" spans="1:7" x14ac:dyDescent="0.2">
      <c r="A19" s="5" t="s">
        <v>27</v>
      </c>
      <c r="B19" s="6" t="s">
        <v>17</v>
      </c>
      <c r="C19" s="6" t="s">
        <v>17</v>
      </c>
      <c r="D19" s="6" t="s">
        <v>17</v>
      </c>
      <c r="E19" s="6" t="s">
        <v>17</v>
      </c>
      <c r="F19" s="6" t="s">
        <v>17</v>
      </c>
      <c r="G19" s="6" t="s">
        <v>17</v>
      </c>
    </row>
    <row r="20" spans="1:7" x14ac:dyDescent="0.2">
      <c r="A20" s="5" t="s">
        <v>28</v>
      </c>
      <c r="B20" s="6" t="s">
        <v>17</v>
      </c>
      <c r="C20" s="6" t="s">
        <v>17</v>
      </c>
      <c r="D20" s="6" t="s">
        <v>17</v>
      </c>
      <c r="E20" s="6" t="s">
        <v>26</v>
      </c>
      <c r="F20" s="6" t="s">
        <v>17</v>
      </c>
      <c r="G20" s="6" t="s">
        <v>17</v>
      </c>
    </row>
    <row r="21" spans="1:7" x14ac:dyDescent="0.2">
      <c r="A21" s="7" t="s">
        <v>29</v>
      </c>
      <c r="B21" s="38"/>
      <c r="C21" s="38"/>
      <c r="D21" s="38"/>
      <c r="E21" s="38"/>
      <c r="F21" s="38"/>
      <c r="G21" s="38"/>
    </row>
    <row r="22" spans="1:7" x14ac:dyDescent="0.2">
      <c r="A22" s="5" t="s">
        <v>30</v>
      </c>
      <c r="B22" s="8">
        <f t="shared" ref="B22:G22" si="0">IF(B19="Y",MIN(B4,1),B4)</f>
        <v>4</v>
      </c>
      <c r="C22" s="8">
        <f t="shared" si="0"/>
        <v>4</v>
      </c>
      <c r="D22" s="8">
        <f t="shared" si="0"/>
        <v>4</v>
      </c>
      <c r="E22" s="8">
        <f t="shared" si="0"/>
        <v>3</v>
      </c>
      <c r="F22" s="8">
        <f t="shared" si="0"/>
        <v>0</v>
      </c>
      <c r="G22" s="8">
        <f t="shared" si="0"/>
        <v>0</v>
      </c>
    </row>
    <row r="23" spans="1:7" x14ac:dyDescent="0.2">
      <c r="A23" s="5" t="s">
        <v>31</v>
      </c>
      <c r="B23" s="8">
        <f t="shared" ref="B23:G23" si="1">IF(AND(B11="Y",B12="Central"),0,IF(OR(B11="Y",B13="Y",B20="Y"),MIN(B5,1),B5))</f>
        <v>3</v>
      </c>
      <c r="C23" s="8">
        <f t="shared" si="1"/>
        <v>4</v>
      </c>
      <c r="D23" s="8">
        <f t="shared" si="1"/>
        <v>4</v>
      </c>
      <c r="E23" s="8">
        <f t="shared" si="1"/>
        <v>0</v>
      </c>
      <c r="F23" s="8">
        <f t="shared" si="1"/>
        <v>0</v>
      </c>
      <c r="G23" s="8">
        <f t="shared" si="1"/>
        <v>0</v>
      </c>
    </row>
    <row r="24" spans="1:7" x14ac:dyDescent="0.2">
      <c r="A24" s="5" t="s">
        <v>32</v>
      </c>
      <c r="B24" s="8">
        <f t="shared" ref="B24:G24" si="2">IF(OR(AND(B14="Y",B15="Central"),AND(B16="Y",B17="Central")),0,IF(OR(B14="Y",B16="Y"),MIN(B6,1),B6))</f>
        <v>4</v>
      </c>
      <c r="C24" s="8">
        <f t="shared" si="2"/>
        <v>1</v>
      </c>
      <c r="D24" s="8">
        <f t="shared" si="2"/>
        <v>4</v>
      </c>
      <c r="E24" s="8">
        <f t="shared" si="2"/>
        <v>2</v>
      </c>
      <c r="F24" s="8">
        <f t="shared" si="2"/>
        <v>0</v>
      </c>
      <c r="G24" s="8">
        <f t="shared" si="2"/>
        <v>0</v>
      </c>
    </row>
    <row r="25" spans="1:7" x14ac:dyDescent="0.2">
      <c r="A25" s="5" t="s">
        <v>33</v>
      </c>
      <c r="B25" s="8">
        <f t="shared" ref="B25:G26" si="3">B7</f>
        <v>4</v>
      </c>
      <c r="C25" s="8">
        <f t="shared" si="3"/>
        <v>4</v>
      </c>
      <c r="D25" s="8">
        <f t="shared" si="3"/>
        <v>4</v>
      </c>
      <c r="E25" s="8">
        <f t="shared" si="3"/>
        <v>1</v>
      </c>
      <c r="F25" s="8">
        <f t="shared" si="3"/>
        <v>0</v>
      </c>
      <c r="G25" s="8">
        <f t="shared" si="3"/>
        <v>0</v>
      </c>
    </row>
    <row r="26" spans="1:7" x14ac:dyDescent="0.2">
      <c r="A26" s="5" t="s">
        <v>34</v>
      </c>
      <c r="B26" s="8">
        <f t="shared" si="3"/>
        <v>4</v>
      </c>
      <c r="C26" s="8">
        <f t="shared" si="3"/>
        <v>4</v>
      </c>
      <c r="D26" s="8">
        <f t="shared" si="3"/>
        <v>4</v>
      </c>
      <c r="E26" s="8">
        <f t="shared" si="3"/>
        <v>2</v>
      </c>
      <c r="F26" s="8">
        <f t="shared" si="3"/>
        <v>0</v>
      </c>
      <c r="G26" s="8">
        <f t="shared" si="3"/>
        <v>0</v>
      </c>
    </row>
    <row r="27" spans="1:7" x14ac:dyDescent="0.2">
      <c r="A27" s="5" t="s">
        <v>35</v>
      </c>
      <c r="B27" s="8">
        <f t="shared" ref="B27:G27" si="4">IF(B18="Y",MIN(B9,1),B9)</f>
        <v>4</v>
      </c>
      <c r="C27" s="8">
        <f t="shared" si="4"/>
        <v>4</v>
      </c>
      <c r="D27" s="8">
        <f t="shared" si="4"/>
        <v>4</v>
      </c>
      <c r="E27" s="8">
        <f t="shared" si="4"/>
        <v>1</v>
      </c>
      <c r="F27" s="8">
        <f t="shared" si="4"/>
        <v>0</v>
      </c>
      <c r="G27" s="8">
        <f t="shared" si="4"/>
        <v>0</v>
      </c>
    </row>
    <row r="29" spans="1:7" ht="16" x14ac:dyDescent="0.2">
      <c r="A29" s="9" t="s">
        <v>36</v>
      </c>
      <c r="B29" s="10">
        <f t="shared" ref="B29:G29" si="5">IF(COUNT(B4:B9)&lt;6,"",ROUND((20*B22+25*B23+20*B24+15*B25+10*B26+10*B27)/4,0))</f>
        <v>94</v>
      </c>
      <c r="C29" s="10">
        <f t="shared" si="5"/>
        <v>85</v>
      </c>
      <c r="D29" s="10">
        <f t="shared" si="5"/>
        <v>100</v>
      </c>
      <c r="E29" s="10">
        <f t="shared" si="5"/>
        <v>36</v>
      </c>
      <c r="F29" s="10" t="str">
        <f t="shared" si="5"/>
        <v/>
      </c>
      <c r="G29" s="10" t="str">
        <f t="shared" si="5"/>
        <v/>
      </c>
    </row>
    <row r="30" spans="1:7" x14ac:dyDescent="0.2">
      <c r="A30" s="9" t="s">
        <v>37</v>
      </c>
      <c r="B30" s="11" t="str">
        <f t="shared" ref="B30:G30" si="6">IF(B29="","",IF(B29&gt;=85,"A",IF(B29&gt;=70,"B",IF(B29&gt;=50,"C",IF(B29&gt;=30,"D","E")))))</f>
        <v>A</v>
      </c>
      <c r="C30" s="11" t="str">
        <f t="shared" si="6"/>
        <v>A</v>
      </c>
      <c r="D30" s="11" t="str">
        <f t="shared" si="6"/>
        <v>A</v>
      </c>
      <c r="E30" s="11" t="str">
        <f t="shared" si="6"/>
        <v>D</v>
      </c>
      <c r="F30" s="11" t="str">
        <f t="shared" si="6"/>
        <v/>
      </c>
      <c r="G30" s="11" t="str">
        <f t="shared" si="6"/>
        <v/>
      </c>
    </row>
    <row r="31" spans="1:7" x14ac:dyDescent="0.2">
      <c r="A31" s="9" t="s">
        <v>38</v>
      </c>
      <c r="B31" s="11" t="str">
        <f t="shared" ref="B31:G31" si="7">IF(B29="","",IF(OR(B11="Y",B13="Y",B14="Y",B16="Y",B18="Y",B20="Y"),IF(B19="Y","INTEG+SCOPE","INTEGRITY"),IF(B19="Y","SCOPE","Clean")))</f>
        <v>Clean</v>
      </c>
      <c r="C31" s="11" t="str">
        <f t="shared" si="7"/>
        <v>INTEGRITY</v>
      </c>
      <c r="D31" s="11" t="str">
        <f t="shared" si="7"/>
        <v>Clean</v>
      </c>
      <c r="E31" s="11" t="str">
        <f t="shared" si="7"/>
        <v>INTEGRITY</v>
      </c>
      <c r="F31" s="11" t="str">
        <f t="shared" si="7"/>
        <v/>
      </c>
      <c r="G31" s="11" t="str">
        <f t="shared" si="7"/>
        <v/>
      </c>
    </row>
    <row r="32" spans="1:7" x14ac:dyDescent="0.2">
      <c r="A32" s="9" t="s">
        <v>39</v>
      </c>
      <c r="B32" s="11">
        <f t="shared" ref="B32:G32" si="8">IF(B29="","",SUMPRODUCT(($B$29:$G$29&lt;&gt;"")*($B$29:$G$29&gt;B29))+1)</f>
        <v>2</v>
      </c>
      <c r="C32" s="11">
        <f t="shared" si="8"/>
        <v>3</v>
      </c>
      <c r="D32" s="11">
        <f t="shared" si="8"/>
        <v>1</v>
      </c>
      <c r="E32" s="11">
        <f t="shared" si="8"/>
        <v>4</v>
      </c>
      <c r="F32" s="11" t="str">
        <f t="shared" si="8"/>
        <v/>
      </c>
      <c r="G32" s="11" t="str">
        <f t="shared" si="8"/>
        <v/>
      </c>
    </row>
    <row r="34" spans="1:7" ht="27.75" customHeight="1" x14ac:dyDescent="0.2">
      <c r="A34" s="39" t="s">
        <v>40</v>
      </c>
      <c r="B34" s="39"/>
      <c r="C34" s="39"/>
      <c r="D34" s="39"/>
      <c r="E34" s="39"/>
      <c r="F34" s="39"/>
      <c r="G34" s="39"/>
    </row>
  </sheetData>
  <mergeCells count="5">
    <mergeCell ref="A1:G1"/>
    <mergeCell ref="A2:G2"/>
    <mergeCell ref="B10:G10"/>
    <mergeCell ref="B21:G21"/>
    <mergeCell ref="A34:G34"/>
  </mergeCells>
  <dataValidations count="3">
    <dataValidation type="list" allowBlank="1" sqref="B12:G12 B15:G15 B17:G17" xr:uid="{BFCC2853-7AE7-424F-96DE-6ADDE3D8C7A3}">
      <formula1>"Central,Peripheral"</formula1>
      <formula2>0</formula2>
    </dataValidation>
    <dataValidation type="list" allowBlank="1" sqref="B11:G11 B13:G14 B16:G16 B18:G20" xr:uid="{90C5C7AF-56F8-8A41-96D9-92B452D8C312}">
      <formula1>"Y,N"</formula1>
      <formula2>0</formula2>
    </dataValidation>
    <dataValidation type="list" allowBlank="1" sqref="B4:G9" xr:uid="{0884CEE6-636B-A74E-9849-440A14D18A48}">
      <formula1>"0,1,2,3,4"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Weighted scores</vt:lpstr>
      <vt:lpstr>Dimension scores</vt:lpstr>
      <vt:lpstr>Pivot_Summary</vt:lpstr>
      <vt:lpstr>Claude_judge</vt:lpstr>
      <vt:lpstr>Codex_judge</vt:lpstr>
      <vt:lpstr>Raw_Data</vt:lpstr>
      <vt:lpstr>Gemma_judge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Hsu</dc:creator>
  <cp:lastModifiedBy>Mike Hsu</cp:lastModifiedBy>
  <dcterms:created xsi:type="dcterms:W3CDTF">2026-05-30T01:37:59Z</dcterms:created>
  <dcterms:modified xsi:type="dcterms:W3CDTF">2026-06-23T19:40:39Z</dcterms:modified>
</cp:coreProperties>
</file>