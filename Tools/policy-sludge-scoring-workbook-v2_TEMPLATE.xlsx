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corecard" sheetId="2" state="visible" r:id="rId4"/>
    <sheet name="Comparison" sheetId="3" state="visible" r:id="rId5"/>
    <sheet name="Citation Sample Log" sheetId="4" state="visible" r:id="rId6"/>
    <sheet name="Rubric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<sst xmlns="http://schemas.openxmlformats.org/spreadsheetml/2006/main" count="252" uniqueCount="162">
  <si>
    <t xml:space="preserve">Policy-Sludge Output Evaluation — Scoring Workbook (v2, merged)</t>
  </si>
  <si>
    <t xml:space="preserve">What this workbook is</t>
  </si>
  <si>
    <t xml:space="preserve">Scoring instrument for the v2 Policy-Sludge Output Evaluation Rubric. Works for any AI output that identifies policy sludge (duplicative, overlapping, redundant, obsolete, ambiguous, or disproportionately burdensome requirements), not only the sample banking-board prompt. Pair with the Rubric v2, the LLM-as-Judge Prompt v2, and the Reviewer Protocol v2.</t>
  </si>
  <si>
    <t xml:space="preserve">What changed in v2</t>
  </si>
  <si>
    <t xml:space="preserve">1) Integrity-weighted scoring (no longer equal): D1 20, D2 25, D3 20, D4 15, D5 10, D6 10 — integrity axes carry 55 of 100.  2) Scored subcriteria: actor mapping (D1/D5), binding-vs-guidance (D3), reform usefulness (D4).  3) Two added flags: F6 scope evasion, F7 unsupported central legal conclusion.  4) Graduated cap severity: F1/F3/F4 cap their dimension to 0 if Central, ≤1 if Peripheral.</t>
  </si>
  <si>
    <t xml:space="preserve">Tabs</t>
  </si>
  <si>
    <t xml:space="preserve">• Scorecard — detailed assessment of ONE output. Enter six raw 0–4 scores, flags (with severity), and subcriteria checks; the sheet computes effective scores (after caps), the weighted overall /100, tier, and reliability overlay.</t>
  </si>
  <si>
    <t xml:space="preserve">• Comparison — up to six outputs side by side. Enter each output's raw scores AND flags; the sheet computes effective scores, weighted overall, tier, overlay, and rank automatically (no manual cap math).</t>
  </si>
  <si>
    <t xml:space="preserve">• Citation Sample Log — record the citation spot-check (with central/peripheral tags) behind the integrity scores. Verdict counts feed D2/D3 and the flags.</t>
  </si>
  <si>
    <t xml:space="preserve">• Rubric Reference — condensed anchors, weights, flags, severity, and tier bands.</t>
  </si>
  <si>
    <t xml:space="preserve">Scoring math</t>
  </si>
  <si>
    <t xml:space="preserve">Each dimension scored 0–4 (raw) → caps applied → effective. Overall = Σ(weight × effective ÷ 4); weights sum to 100, so a perfect 4 across all dimensions = 100. Tiers: A 85–100 · B 70–84 · C 50–69 · D 30–49 · E 0–29. Reliability overlay (Integrity-flagged / Scope-flagged) is reported alongside the tier and governs reliance regardless of the number.</t>
  </si>
  <si>
    <t xml:space="preserve">How to score (short version)</t>
  </si>
  <si>
    <t xml:space="preserve">1) Reconstruct the request spec and build a coverage map. 2) Mark coverage incl. every actor class → D1. 3) Spot-check a citation sample, tag central/peripheral → D2/D3 + flags. 4) Judge sludge analysis + reform levers → D4. 5) Judge structure/actor-mapping (D5) and honesty (D6). 6) Check the three subcriteria. 7) Enter raw scores + flags here; write the narrative. Anchor every score to a concrete quote.</t>
  </si>
  <si>
    <t xml:space="preserve">Reading the result</t>
  </si>
  <si>
    <t xml:space="preserve">Example: "Tier B (78/100) — INTEGRITY-FLAGGED (F1 central)." Because integrity carries 55 of 100 and central integrity flags zero their dimension, a compromised output usually drops a tier or more AND carries the overlay.</t>
  </si>
  <si>
    <t xml:space="preserve">Policy-Sludge Output — Scorecard (v2)</t>
  </si>
  <si>
    <t xml:space="preserve">Output ID:</t>
  </si>
  <si>
    <t xml:space="preserve">Reviewer:</t>
  </si>
  <si>
    <t xml:space="preserve">Date:</t>
  </si>
  <si>
    <t xml:space="preserve">Run mode (human/LLM):</t>
  </si>
  <si>
    <t xml:space="preserve">Original request / context:</t>
  </si>
  <si>
    <t xml:space="preserve">Dimension</t>
  </si>
  <si>
    <t xml:space="preserve">Weight</t>
  </si>
  <si>
    <t xml:space="preserve">Raw (0–4)</t>
  </si>
  <si>
    <t xml:space="preserve">Cap applied</t>
  </si>
  <si>
    <t xml:space="preserve">Effective</t>
  </si>
  <si>
    <t xml:space="preserve">Weighted pts</t>
  </si>
  <si>
    <t xml:space="preserve">Evidence quote (≤25 words)</t>
  </si>
  <si>
    <t xml:space="preserve">Notes / rationale</t>
  </si>
  <si>
    <t xml:space="preserve">D1  Coverage &amp; Comprehensiveness</t>
  </si>
  <si>
    <t xml:space="preserve">D2  Source &amp; Citation Integrity</t>
  </si>
  <si>
    <t xml:space="preserve">D3  Substantive Accuracy &amp; Currency</t>
  </si>
  <si>
    <t xml:space="preserve">D4  Sludge-Analysis Quality</t>
  </si>
  <si>
    <t xml:space="preserve">—</t>
  </si>
  <si>
    <t xml:space="preserve">D5  Structure, Granularity &amp; Fitness</t>
  </si>
  <si>
    <t xml:space="preserve">D6  Calibration &amp; Transparency</t>
  </si>
  <si>
    <t xml:space="preserve">Critical flag</t>
  </si>
  <si>
    <t xml:space="preserve">Present? (Y/N)</t>
  </si>
  <si>
    <t xml:space="preserve">Severity</t>
  </si>
  <si>
    <t xml:space="preserve">Evidence (specific failing citation / claim)</t>
  </si>
  <si>
    <t xml:space="preserve">F1  Fabricated source / quotation</t>
  </si>
  <si>
    <t xml:space="preserve">N</t>
  </si>
  <si>
    <t xml:space="preserve">Central</t>
  </si>
  <si>
    <t xml:space="preserve">F2  Misattribution</t>
  </si>
  <si>
    <t xml:space="preserve">F3  Stale-as-current</t>
  </si>
  <si>
    <t xml:space="preserve">F4  Invented obligation</t>
  </si>
  <si>
    <t xml:space="preserve">F5  False exhaustiveness</t>
  </si>
  <si>
    <t xml:space="preserve">F6  Material scope evasion</t>
  </si>
  <si>
    <t xml:space="preserve">F7  Unsupported central legal conclusion</t>
  </si>
  <si>
    <t xml:space="preserve">Subcriteria checks  (inform the RAW score per these caps — apply when entering raw)</t>
  </si>
  <si>
    <t xml:space="preserve">Actor mapping — every required actor class covered &amp; duties tied to precise actors?</t>
  </si>
  <si>
    <t xml:space="preserve">Y</t>
  </si>
  <si>
    <t xml:space="preserve">Miss a required actor class → cap D1 ≤2;  generic 'board oversight' language → cap D5 ≤2</t>
  </si>
  <si>
    <t xml:space="preserve">Binding-vs-guidance — binding law clearly separated from non-binding guidance?</t>
  </si>
  <si>
    <t xml:space="preserve">Systematic guidance-as-law blending → cap D3 ≤2</t>
  </si>
  <si>
    <t xml:space="preserve">Reform usefulness — reform levers indicated (consolidate/delegate/clarify/keep)?</t>
  </si>
  <si>
    <t xml:space="preserve">No reform framing → cap D4 ≤3;  purely descriptive list → cap D4 ≤2</t>
  </si>
  <si>
    <t xml:space="preserve">Overall score (/100)</t>
  </si>
  <si>
    <t xml:space="preserve">Tier</t>
  </si>
  <si>
    <t xml:space="preserve">Reliability overlay</t>
  </si>
  <si>
    <t xml:space="preserve">Result line</t>
  </si>
  <si>
    <t xml:space="preserve">Top strengths (3–5, each tied to a dimension + example)</t>
  </si>
  <si>
    <t xml:space="preserve">Top weaknesses (3–5, ordered by severity)</t>
  </si>
  <si>
    <t xml:space="preserve">Subcriteria verdicts (actor mapping / binding-vs-guidance / reform usefulness)</t>
  </si>
  <si>
    <t xml:space="preserve">Prioritized remediation (3–5 highest-value fixes)</t>
  </si>
  <si>
    <t xml:space="preserve">Reliance recommendation (one sentence)</t>
  </si>
  <si>
    <t xml:space="preserve">Policy-Sludge Outputs — Comparison (up to 6, auto-computed)</t>
  </si>
  <si>
    <t xml:space="preserve">Enter each output's six RAW 0–4 scores and its flags. The sheet applies caps and computes effective scores, weighted overall, tier, overlay, and rank.</t>
  </si>
  <si>
    <t xml:space="preserve">Row</t>
  </si>
  <si>
    <t xml:space="preserve">Output A</t>
  </si>
  <si>
    <t xml:space="preserve">Output B</t>
  </si>
  <si>
    <t xml:space="preserve">Output C</t>
  </si>
  <si>
    <t xml:space="preserve">Output D</t>
  </si>
  <si>
    <t xml:space="preserve">Output E</t>
  </si>
  <si>
    <t xml:space="preserve">Output F</t>
  </si>
  <si>
    <t xml:space="preserve">D1 Coverage &amp; Comprehensiveness (raw)</t>
  </si>
  <si>
    <t xml:space="preserve">D2 Source &amp; Citation Integrity (raw)</t>
  </si>
  <si>
    <t xml:space="preserve">D3 Substantive Accuracy &amp; Currency (raw)</t>
  </si>
  <si>
    <t xml:space="preserve">D4 Sludge-Analysis Quality (raw)</t>
  </si>
  <si>
    <t xml:space="preserve">D5 Structure &amp; Fitness (raw)</t>
  </si>
  <si>
    <t xml:space="preserve">D6 Calibration &amp; Transparency (raw)</t>
  </si>
  <si>
    <t xml:space="preserve">FLAGS  (Y/N; severity where shown)</t>
  </si>
  <si>
    <t xml:space="preserve">F1 Fabricated (Y/N)</t>
  </si>
  <si>
    <t xml:space="preserve">F1 severity (Central/Peripheral)</t>
  </si>
  <si>
    <t xml:space="preserve">F2 Misattribution (Y/N)</t>
  </si>
  <si>
    <t xml:space="preserve">F3 Stale-as-current (Y/N)</t>
  </si>
  <si>
    <t xml:space="preserve">F3 severity</t>
  </si>
  <si>
    <t xml:space="preserve">F4 Invented obligation (Y/N)</t>
  </si>
  <si>
    <t xml:space="preserve">F4 severity</t>
  </si>
  <si>
    <t xml:space="preserve">F5 False exhaustiveness (Y/N)</t>
  </si>
  <si>
    <t xml:space="preserve">F6 Scope evasion (Y/N)</t>
  </si>
  <si>
    <t xml:space="preserve">F7 Unsupported central conclusion (Y/N)</t>
  </si>
  <si>
    <t xml:space="preserve">EFFECTIVE (auto)</t>
  </si>
  <si>
    <t xml:space="preserve">eff D1</t>
  </si>
  <si>
    <t xml:space="preserve">eff D2</t>
  </si>
  <si>
    <t xml:space="preserve">eff D3</t>
  </si>
  <si>
    <t xml:space="preserve">eff D4</t>
  </si>
  <si>
    <t xml:space="preserve">eff D5</t>
  </si>
  <si>
    <t xml:space="preserve">eff D6</t>
  </si>
  <si>
    <t xml:space="preserve">Weighted overall (/100)</t>
  </si>
  <si>
    <t xml:space="preserve">Rank (by overall)</t>
  </si>
  <si>
    <t xml:space="preserve">Note: Rank is by numeric overall only. Any output marked INTEGRITY / INTEG+SCOPE in the overlay row should not be relied on regardless of rank.</t>
  </si>
  <si>
    <t xml:space="preserve">Citation Spot-Check Log</t>
  </si>
  <si>
    <t xml:space="preserve">Verdict counts:</t>
  </si>
  <si>
    <t xml:space="preserve">SUPPORTS</t>
  </si>
  <si>
    <t xml:space="preserve">WRONG-ATTRIBUTION</t>
  </si>
  <si>
    <t xml:space="preserve">NOT-SUPPORTED</t>
  </si>
  <si>
    <t xml:space="preserve">STALE</t>
  </si>
  <si>
    <t xml:space="preserve">FABRICATED</t>
  </si>
  <si>
    <t xml:space="preserve">UNVERIFIABLE</t>
  </si>
  <si>
    <t xml:space="preserve">#</t>
  </si>
  <si>
    <t xml:space="preserve">Section in output</t>
  </si>
  <si>
    <t xml:space="preserve">Citation as stated</t>
  </si>
  <si>
    <t xml:space="preserve">Claim it supports</t>
  </si>
  <si>
    <t xml:space="preserve">Verified against (source / URL)</t>
  </si>
  <si>
    <t xml:space="preserve">Verdict</t>
  </si>
  <si>
    <t xml:space="preserve">Central / Peripheral</t>
  </si>
  <si>
    <t xml:space="preserve">Reason (1 line)</t>
  </si>
  <si>
    <t xml:space="preserve">Reviewer</t>
  </si>
  <si>
    <t xml:space="preserve">Rubric Reference (v2) — anchors, weights, flags, tiers</t>
  </si>
  <si>
    <t xml:space="preserve">Dimensions (score 0–4) and weights</t>
  </si>
  <si>
    <t xml:space="preserve">What 4 vs 2 vs 0 looks like / subcriterion</t>
  </si>
  <si>
    <t xml:space="preserve">D1 Coverage &amp; Comprehensiveness</t>
  </si>
  <si>
    <t xml:space="preserve">20</t>
  </si>
  <si>
    <t xml:space="preserve">Fills the coverage map across all axes/sources/areas; even depth. 4=near-complete; 2=noticeable gaps; 0=wrong scope. Sub: missing a required actor class → cap ≤2.</t>
  </si>
  <si>
    <t xml:space="preserve">D2 Source &amp; Citation Integrity</t>
  </si>
  <si>
    <t xml:space="preserve">25</t>
  </si>
  <si>
    <t xml:space="preserve">Citations real, correctly attributed, precise, faithful. 4=specific &amp; verifiable; 2=imprecise/over-broad; 1=a misattribution/unsupported claim; 0=fabrication.</t>
  </si>
  <si>
    <t xml:space="preserve">D3 Substantive Accuracy &amp; Currency</t>
  </si>
  <si>
    <t xml:space="preserve">Correct + in force now. 4=correct &amp; current; 2=some mischaracterization/currency error; 0=stale-as-current. Sub: guidance-as-law blending → cap ≤2.</t>
  </si>
  <si>
    <t xml:space="preserve">D4 Sludge-Analysis Quality</t>
  </si>
  <si>
    <t xml:space="preserve">15</t>
  </si>
  <si>
    <t xml:space="preserve">Maps duplication/overlap/obsolescence; discriminates true sludge; few false positives. Sub: no reform levers → cap ≤3; pure list → ≤2.</t>
  </si>
  <si>
    <t xml:space="preserve">D5 Structure, Granularity &amp; Fitness</t>
  </si>
  <si>
    <t xml:space="preserve">10</t>
  </si>
  <si>
    <t xml:space="preserve">Organized, granular, usable for the audience. Sub: generic 'board oversight' actor language → cap ≤2.</t>
  </si>
  <si>
    <t xml:space="preserve">D6 Calibration &amp; Transparency</t>
  </si>
  <si>
    <t xml:space="preserve">Honest about scope/gaps/uncertainty/method; no overclaiming. 0=affirmatively claims unearned exhaustiveness.</t>
  </si>
  <si>
    <t xml:space="preserve">Critical flags (evidence required)</t>
  </si>
  <si>
    <t xml:space="preserve">Flag</t>
  </si>
  <si>
    <t xml:space="preserve">Effect</t>
  </si>
  <si>
    <t xml:space="preserve">F1 Fabricated source/quotation</t>
  </si>
  <si>
    <t xml:space="preserve">Central/Periph</t>
  </si>
  <si>
    <t xml:space="preserve">Caps D2 = 0 (central) or ≤1 (peripheral); integrity-flagged.</t>
  </si>
  <si>
    <t xml:space="preserve">F2 Misattribution</t>
  </si>
  <si>
    <t xml:space="preserve">Caps D2 ≤1; integrity-flagged if material.</t>
  </si>
  <si>
    <t xml:space="preserve">F3 Stale-as-current</t>
  </si>
  <si>
    <t xml:space="preserve">Caps D3 = 0 (central) or ≤1 (peripheral); integrity-flagged.</t>
  </si>
  <si>
    <t xml:space="preserve">F4 Invented obligation</t>
  </si>
  <si>
    <t xml:space="preserve">F5 False exhaustiveness</t>
  </si>
  <si>
    <t xml:space="preserve">Caps D6 ≤1.</t>
  </si>
  <si>
    <t xml:space="preserve">F6 Material scope evasion</t>
  </si>
  <si>
    <t xml:space="preserve">Caps D1 ≤1; scope-flagged.</t>
  </si>
  <si>
    <t xml:space="preserve">F7 Unsupported central legal conclusion</t>
  </si>
  <si>
    <t xml:space="preserve">Caps D2 ≤1; integrity-flagged.</t>
  </si>
  <si>
    <t xml:space="preserve">Tiers &amp; math</t>
  </si>
  <si>
    <t xml:space="preserve">Overall</t>
  </si>
  <si>
    <t xml:space="preserve">Sum over dimensions of weight x effective / 4 (weights total 100; perfect 4s = 100).</t>
  </si>
  <si>
    <t xml:space="preserve">Tiers</t>
  </si>
  <si>
    <t xml:space="preserve">A 85-100 - B 70-84 - C 50-69 - D 30-49 - E 0-29.</t>
  </si>
  <si>
    <t xml:space="preserve">Report tier AND overlay. Any F1-F5/F7 -&gt; INTEGRITY-FLAGGED; F6 -&gt; SCOPE-FLAGGED. Overlay governs reliance regardless of score.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</si>
</sst>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33C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833C00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25.5" hidden="false" customHeight="tru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45.7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60" hidden="false" customHeight="true" outlineLevel="0" collapsed="false">
      <c r="B8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30" hidden="false" customHeight="true" outlineLevel="0" collapsed="false">
      <c r="B11" s="3" t="s">
        <v>6</v>
      </c>
    </row>
    <row r="12" customFormat="false" ht="30" hidden="false" customHeight="true" outlineLevel="0" collapsed="false">
      <c r="B12" s="3" t="s">
        <v>7</v>
      </c>
    </row>
    <row r="13" customFormat="false" ht="30" hidden="false" customHeight="true" outlineLevel="0" collapsed="false">
      <c r="B13" s="3" t="s">
        <v>8</v>
      </c>
    </row>
    <row r="14" customFormat="false" ht="30" hidden="false" customHeight="true" outlineLevel="0" collapsed="false">
      <c r="B14" s="3" t="s">
        <v>9</v>
      </c>
    </row>
    <row r="16" customFormat="false" ht="15" hidden="false" customHeight="false" outlineLevel="0" collapsed="false">
      <c r="B16" s="2" t="s">
        <v>10</v>
      </c>
    </row>
    <row r="17" customFormat="false" ht="45.75" hidden="false" customHeight="true" outlineLevel="0" collapsed="false">
      <c r="B17" s="3" t="s">
        <v>11</v>
      </c>
    </row>
    <row r="19" customFormat="false" ht="15" hidden="false" customHeight="false" outlineLevel="0" collapsed="false">
      <c r="B19" s="2" t="s">
        <v>12</v>
      </c>
    </row>
    <row r="20" customFormat="false" ht="60" hidden="false" customHeight="true" outlineLevel="0" collapsed="false">
      <c r="B20" s="3" t="s">
        <v>13</v>
      </c>
    </row>
    <row r="22" customFormat="false" ht="15" hidden="false" customHeight="false" outlineLevel="0" collapsed="false">
      <c r="B22" s="2" t="s">
        <v>14</v>
      </c>
    </row>
    <row r="23" customFormat="false" ht="39.75" hidden="false" customHeight="true" outlineLevel="0" collapsed="false">
      <c r="B23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34"/>
  </cols>
  <sheetData>
    <row r="1" customFormat="false" ht="24" hidden="false" customHeight="true" outlineLevel="0" collapsed="false">
      <c r="A1" s="4" t="s">
        <v>16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17</v>
      </c>
      <c r="B2" s="6"/>
      <c r="C2" s="6"/>
      <c r="D2" s="6"/>
      <c r="E2" s="5" t="s">
        <v>18</v>
      </c>
      <c r="F2" s="6"/>
      <c r="G2" s="6"/>
      <c r="H2" s="6"/>
    </row>
    <row r="3" customFormat="false" ht="15" hidden="false" customHeight="false" outlineLevel="0" collapsed="false">
      <c r="A3" s="5" t="s">
        <v>19</v>
      </c>
      <c r="B3" s="6"/>
      <c r="C3" s="6"/>
      <c r="D3" s="6"/>
      <c r="E3" s="5" t="s">
        <v>20</v>
      </c>
      <c r="F3" s="6"/>
      <c r="G3" s="6"/>
      <c r="H3" s="6"/>
    </row>
    <row r="4" customFormat="false" ht="30" hidden="false" customHeight="true" outlineLevel="0" collapsed="false">
      <c r="A4" s="5" t="s">
        <v>21</v>
      </c>
      <c r="B4" s="6"/>
      <c r="C4" s="6"/>
      <c r="D4" s="6"/>
      <c r="E4" s="6"/>
      <c r="F4" s="6"/>
      <c r="G4" s="6"/>
      <c r="H4" s="6"/>
    </row>
    <row r="6" customFormat="false" ht="15" hidden="false" customHeight="false" outlineLevel="0" collapsed="false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</row>
    <row r="7" customFormat="false" ht="33.75" hidden="false" customHeight="true" outlineLevel="0" collapsed="false">
      <c r="A7" s="8" t="s">
        <v>30</v>
      </c>
      <c r="B7" s="9" t="n">
        <v>20</v>
      </c>
      <c r="C7" s="10"/>
      <c r="D7" s="11" t="str">
        <f aca="false">IF($B$21="Y","capped ≤1 (F6)","—")</f>
        <v>—</v>
      </c>
      <c r="E7" s="12" t="n">
        <f aca="false">IF($B$21="Y",MIN(C7,1),C7)</f>
        <v>0</v>
      </c>
      <c r="F7" s="12" t="n">
        <f aca="false">B7*E7/4</f>
        <v>0</v>
      </c>
      <c r="G7" s="13"/>
      <c r="H7" s="13"/>
    </row>
    <row r="8" customFormat="false" ht="33.75" hidden="false" customHeight="true" outlineLevel="0" collapsed="false">
      <c r="A8" s="8" t="s">
        <v>31</v>
      </c>
      <c r="B8" s="9" t="n">
        <v>25</v>
      </c>
      <c r="C8" s="10"/>
      <c r="D8" s="11" t="str">
        <f aca="false">IF(AND($B$16="Y",$C$16="Central"),"capped 0 (F1 central)",IF(OR($B$16="Y",$B$17="Y",$B$22="Y"),"capped ≤1 (F1/F2/F7)","—"))</f>
        <v>—</v>
      </c>
      <c r="E8" s="12" t="n">
        <f aca="false">IF(AND($B$16="Y",$C$16="Central"),0,IF(OR($B$16="Y",$B$17="Y",$B$22="Y"),MIN(C8,1),C8))</f>
        <v>0</v>
      </c>
      <c r="F8" s="12" t="n">
        <f aca="false">B8*E8/4</f>
        <v>0</v>
      </c>
      <c r="G8" s="13"/>
      <c r="H8" s="13"/>
    </row>
    <row r="9" customFormat="false" ht="33.75" hidden="false" customHeight="true" outlineLevel="0" collapsed="false">
      <c r="A9" s="8" t="s">
        <v>32</v>
      </c>
      <c r="B9" s="9" t="n">
        <v>20</v>
      </c>
      <c r="C9" s="10"/>
      <c r="D9" s="11" t="str">
        <f aca="false">IF(OR(AND($B$18="Y",$C$18="Central"),AND($B$19="Y",$C$19="Central")),"capped 0 (F3/F4 central)",IF(OR($B$18="Y",$B$19="Y"),"capped ≤1 (F3/F4)","—"))</f>
        <v>—</v>
      </c>
      <c r="E9" s="12" t="n">
        <f aca="false">IF(OR(AND($B$18="Y",$C$18="Central"),AND($B$19="Y",$C$19="Central")),0,IF(OR($B$18="Y",$B$19="Y"),MIN(C9,1),C9))</f>
        <v>0</v>
      </c>
      <c r="F9" s="12" t="n">
        <f aca="false">B9*E9/4</f>
        <v>0</v>
      </c>
      <c r="G9" s="13"/>
      <c r="H9" s="13"/>
    </row>
    <row r="10" customFormat="false" ht="33.75" hidden="false" customHeight="true" outlineLevel="0" collapsed="false">
      <c r="A10" s="8" t="s">
        <v>33</v>
      </c>
      <c r="B10" s="9" t="n">
        <v>15</v>
      </c>
      <c r="C10" s="10"/>
      <c r="D10" s="11" t="s">
        <v>34</v>
      </c>
      <c r="E10" s="12" t="n">
        <f aca="false">C10</f>
        <v>0</v>
      </c>
      <c r="F10" s="12" t="n">
        <f aca="false">B10*E10/4</f>
        <v>0</v>
      </c>
      <c r="G10" s="13"/>
      <c r="H10" s="13"/>
    </row>
    <row r="11" customFormat="false" ht="33.75" hidden="false" customHeight="true" outlineLevel="0" collapsed="false">
      <c r="A11" s="8" t="s">
        <v>35</v>
      </c>
      <c r="B11" s="9" t="n">
        <v>10</v>
      </c>
      <c r="C11" s="10"/>
      <c r="D11" s="11" t="s">
        <v>34</v>
      </c>
      <c r="E11" s="12" t="n">
        <f aca="false">C11</f>
        <v>0</v>
      </c>
      <c r="F11" s="12" t="n">
        <f aca="false">B11*E11/4</f>
        <v>0</v>
      </c>
      <c r="G11" s="13"/>
      <c r="H11" s="13"/>
    </row>
    <row r="12" customFormat="false" ht="33.75" hidden="false" customHeight="true" outlineLevel="0" collapsed="false">
      <c r="A12" s="8" t="s">
        <v>36</v>
      </c>
      <c r="B12" s="9" t="n">
        <v>10</v>
      </c>
      <c r="C12" s="10"/>
      <c r="D12" s="11" t="str">
        <f aca="false">IF($B$20="Y","capped ≤1 (F5)","—")</f>
        <v>—</v>
      </c>
      <c r="E12" s="12" t="n">
        <f aca="false">IF($B$20="Y",MIN(C12,1),C12)</f>
        <v>0</v>
      </c>
      <c r="F12" s="12" t="n">
        <f aca="false">B12*E12/4</f>
        <v>0</v>
      </c>
      <c r="G12" s="13"/>
      <c r="H12" s="13"/>
    </row>
    <row r="15" customFormat="false" ht="23.85" hidden="false" customHeight="true" outlineLevel="0" collapsed="false">
      <c r="A15" s="7" t="s">
        <v>37</v>
      </c>
      <c r="B15" s="7" t="s">
        <v>38</v>
      </c>
      <c r="C15" s="7" t="s">
        <v>39</v>
      </c>
      <c r="D15" s="14" t="s">
        <v>40</v>
      </c>
      <c r="E15" s="14"/>
      <c r="F15" s="14"/>
      <c r="G15" s="14"/>
      <c r="H15" s="14"/>
    </row>
    <row r="16" customFormat="false" ht="24" hidden="false" customHeight="true" outlineLevel="0" collapsed="false">
      <c r="A16" s="13" t="s">
        <v>41</v>
      </c>
      <c r="B16" s="15" t="s">
        <v>42</v>
      </c>
      <c r="C16" s="15" t="s">
        <v>43</v>
      </c>
      <c r="D16" s="16"/>
      <c r="E16" s="16"/>
      <c r="F16" s="16"/>
      <c r="G16" s="16"/>
      <c r="H16" s="16"/>
    </row>
    <row r="17" customFormat="false" ht="24" hidden="false" customHeight="true" outlineLevel="0" collapsed="false">
      <c r="A17" s="13" t="s">
        <v>44</v>
      </c>
      <c r="B17" s="15" t="s">
        <v>42</v>
      </c>
      <c r="C17" s="17" t="s">
        <v>34</v>
      </c>
      <c r="D17" s="16"/>
      <c r="E17" s="16"/>
      <c r="F17" s="16"/>
      <c r="G17" s="16"/>
      <c r="H17" s="16"/>
    </row>
    <row r="18" customFormat="false" ht="24" hidden="false" customHeight="true" outlineLevel="0" collapsed="false">
      <c r="A18" s="13" t="s">
        <v>45</v>
      </c>
      <c r="B18" s="15" t="s">
        <v>42</v>
      </c>
      <c r="C18" s="15" t="s">
        <v>43</v>
      </c>
      <c r="D18" s="16"/>
      <c r="E18" s="16"/>
      <c r="F18" s="16"/>
      <c r="G18" s="16"/>
      <c r="H18" s="16"/>
    </row>
    <row r="19" customFormat="false" ht="24" hidden="false" customHeight="true" outlineLevel="0" collapsed="false">
      <c r="A19" s="13" t="s">
        <v>46</v>
      </c>
      <c r="B19" s="15" t="s">
        <v>42</v>
      </c>
      <c r="C19" s="15" t="s">
        <v>43</v>
      </c>
      <c r="D19" s="16"/>
      <c r="E19" s="16"/>
      <c r="F19" s="16"/>
      <c r="G19" s="16"/>
      <c r="H19" s="16"/>
    </row>
    <row r="20" customFormat="false" ht="24" hidden="false" customHeight="true" outlineLevel="0" collapsed="false">
      <c r="A20" s="13" t="s">
        <v>47</v>
      </c>
      <c r="B20" s="15" t="s">
        <v>42</v>
      </c>
      <c r="C20" s="17" t="s">
        <v>34</v>
      </c>
      <c r="D20" s="16"/>
      <c r="E20" s="16"/>
      <c r="F20" s="16"/>
      <c r="G20" s="16"/>
      <c r="H20" s="16"/>
    </row>
    <row r="21" customFormat="false" ht="24" hidden="false" customHeight="true" outlineLevel="0" collapsed="false">
      <c r="A21" s="13" t="s">
        <v>48</v>
      </c>
      <c r="B21" s="15" t="s">
        <v>42</v>
      </c>
      <c r="C21" s="17" t="s">
        <v>34</v>
      </c>
      <c r="D21" s="16"/>
      <c r="E21" s="16"/>
      <c r="F21" s="16"/>
      <c r="G21" s="16"/>
      <c r="H21" s="16"/>
    </row>
    <row r="22" customFormat="false" ht="24" hidden="false" customHeight="true" outlineLevel="0" collapsed="false">
      <c r="A22" s="13" t="s">
        <v>49</v>
      </c>
      <c r="B22" s="15" t="s">
        <v>42</v>
      </c>
      <c r="C22" s="17" t="s">
        <v>34</v>
      </c>
      <c r="D22" s="16"/>
      <c r="E22" s="16"/>
      <c r="F22" s="16"/>
      <c r="G22" s="16"/>
      <c r="H22" s="16"/>
    </row>
    <row r="24" customFormat="false" ht="15" hidden="false" customHeight="true" outlineLevel="0" collapsed="false">
      <c r="A24" s="18" t="s">
        <v>50</v>
      </c>
      <c r="B24" s="18"/>
      <c r="C24" s="18"/>
      <c r="D24" s="18"/>
      <c r="E24" s="18"/>
      <c r="F24" s="18"/>
      <c r="G24" s="18"/>
      <c r="H24" s="18"/>
    </row>
    <row r="25" customFormat="false" ht="25.5" hidden="false" customHeight="true" outlineLevel="0" collapsed="false">
      <c r="A25" s="13" t="s">
        <v>51</v>
      </c>
      <c r="B25" s="15" t="s">
        <v>52</v>
      </c>
      <c r="C25" s="19" t="s">
        <v>53</v>
      </c>
      <c r="D25" s="19"/>
      <c r="E25" s="19"/>
      <c r="F25" s="19"/>
      <c r="G25" s="19"/>
      <c r="H25" s="19"/>
    </row>
    <row r="26" customFormat="false" ht="25.5" hidden="false" customHeight="true" outlineLevel="0" collapsed="false">
      <c r="A26" s="13" t="s">
        <v>54</v>
      </c>
      <c r="B26" s="15" t="s">
        <v>52</v>
      </c>
      <c r="C26" s="19" t="s">
        <v>55</v>
      </c>
      <c r="D26" s="19"/>
      <c r="E26" s="19"/>
      <c r="F26" s="19"/>
      <c r="G26" s="19"/>
      <c r="H26" s="19"/>
    </row>
    <row r="27" customFormat="false" ht="25.5" hidden="false" customHeight="true" outlineLevel="0" collapsed="false">
      <c r="A27" s="13" t="s">
        <v>56</v>
      </c>
      <c r="B27" s="15" t="s">
        <v>52</v>
      </c>
      <c r="C27" s="19" t="s">
        <v>57</v>
      </c>
      <c r="D27" s="19"/>
      <c r="E27" s="19"/>
      <c r="F27" s="19"/>
      <c r="G27" s="19"/>
      <c r="H27" s="19"/>
    </row>
    <row r="29" customFormat="false" ht="17.35" hidden="false" customHeight="false" outlineLevel="0" collapsed="false">
      <c r="A29" s="20" t="s">
        <v>58</v>
      </c>
      <c r="B29" s="21" t="n">
        <f aca="false">ROUND(SUM(F7:F12),0)</f>
        <v>0</v>
      </c>
      <c r="C29" s="21"/>
    </row>
    <row r="30" customFormat="false" ht="15" hidden="false" customHeight="false" outlineLevel="0" collapsed="false">
      <c r="A30" s="20" t="s">
        <v>59</v>
      </c>
      <c r="B30" s="22" t="str">
        <f aca="false">IF(B29&gt;=85,"A — Publication-ready",IF(B29&gt;=70,"B — Strong",IF(B29&gt;=50,"C — Usable w/ revision",IF(B29&gt;=30,"D — Weak","E — Inadequate"))))</f>
        <v>E — Inadequate</v>
      </c>
      <c r="C30" s="22"/>
      <c r="D30" s="22"/>
      <c r="E30" s="22"/>
      <c r="F30" s="22"/>
    </row>
    <row r="31" customFormat="false" ht="15" hidden="false" customHeight="false" outlineLevel="0" collapsed="false">
      <c r="A31" s="20" t="s">
        <v>60</v>
      </c>
      <c r="B31" s="22" t="str">
        <f aca="false">IF(OR(B16="Y",B17="Y",B18="Y",B19="Y",B20="Y",B22="Y"),IF(B21="Y","INTEGRITY + SCOPE-FLAGGED — verify before reliance","INTEGRITY-FLAGGED — verify before reliance"),IF(B21="Y","SCOPE-FLAGGED — verify scope","Clean"))</f>
        <v>Clean</v>
      </c>
      <c r="C31" s="22"/>
      <c r="D31" s="22"/>
      <c r="E31" s="22"/>
      <c r="F31" s="22"/>
      <c r="G31" s="22"/>
      <c r="H31" s="22"/>
    </row>
    <row r="32" customFormat="false" ht="15" hidden="false" customHeight="false" outlineLevel="0" collapsed="false">
      <c r="A32" s="20" t="s">
        <v>61</v>
      </c>
      <c r="B32" s="23" t="str">
        <f aca="false">"Tier "&amp;LEFT(B30,1)&amp;" ("&amp;B29&amp;"/100) — "&amp;B31</f>
        <v>Tier E (0/100) — Clean</v>
      </c>
      <c r="C32" s="23"/>
      <c r="D32" s="23"/>
      <c r="E32" s="23"/>
      <c r="F32" s="23"/>
      <c r="G32" s="23"/>
      <c r="H32" s="23"/>
    </row>
    <row r="34" customFormat="false" ht="54" hidden="false" customHeight="true" outlineLevel="0" collapsed="false">
      <c r="A34" s="24" t="s">
        <v>62</v>
      </c>
      <c r="B34" s="16"/>
      <c r="C34" s="16"/>
      <c r="D34" s="16"/>
      <c r="E34" s="16"/>
      <c r="F34" s="16"/>
      <c r="G34" s="16"/>
      <c r="H34" s="16"/>
    </row>
    <row r="35" customFormat="false" ht="54" hidden="false" customHeight="true" outlineLevel="0" collapsed="false">
      <c r="A35" s="24" t="s">
        <v>63</v>
      </c>
      <c r="B35" s="16"/>
      <c r="C35" s="16"/>
      <c r="D35" s="16"/>
      <c r="E35" s="16"/>
      <c r="F35" s="16"/>
      <c r="G35" s="16"/>
      <c r="H35" s="16"/>
    </row>
    <row r="36" customFormat="false" ht="33.75" hidden="false" customHeight="true" outlineLevel="0" collapsed="false">
      <c r="A36" s="24" t="s">
        <v>64</v>
      </c>
      <c r="B36" s="16"/>
      <c r="C36" s="16"/>
      <c r="D36" s="16"/>
      <c r="E36" s="16"/>
      <c r="F36" s="16"/>
      <c r="G36" s="16"/>
      <c r="H36" s="16"/>
    </row>
    <row r="37" customFormat="false" ht="45.75" hidden="false" customHeight="true" outlineLevel="0" collapsed="false">
      <c r="A37" s="24" t="s">
        <v>65</v>
      </c>
      <c r="B37" s="16"/>
      <c r="C37" s="16"/>
      <c r="D37" s="16"/>
      <c r="E37" s="16"/>
      <c r="F37" s="16"/>
      <c r="G37" s="16"/>
      <c r="H37" s="16"/>
    </row>
    <row r="38" customFormat="false" ht="25.5" hidden="false" customHeight="true" outlineLevel="0" collapsed="false">
      <c r="A38" s="24" t="s">
        <v>66</v>
      </c>
      <c r="B38" s="16"/>
      <c r="C38" s="16"/>
      <c r="D38" s="16"/>
      <c r="E38" s="16"/>
      <c r="F38" s="16"/>
      <c r="G38" s="16"/>
      <c r="H38" s="16"/>
    </row>
  </sheetData>
  <mergeCells count="27">
    <mergeCell ref="A1:H1"/>
    <mergeCell ref="B2:D2"/>
    <mergeCell ref="F2:H2"/>
    <mergeCell ref="B3:D3"/>
    <mergeCell ref="F3:H3"/>
    <mergeCell ref="B4:H4"/>
    <mergeCell ref="D15:H15"/>
    <mergeCell ref="D16:H16"/>
    <mergeCell ref="D17:H17"/>
    <mergeCell ref="D18:H18"/>
    <mergeCell ref="D19:H19"/>
    <mergeCell ref="D20:H20"/>
    <mergeCell ref="D21:H21"/>
    <mergeCell ref="D22:H22"/>
    <mergeCell ref="A24:H24"/>
    <mergeCell ref="C25:H25"/>
    <mergeCell ref="C26:H26"/>
    <mergeCell ref="C27:H27"/>
    <mergeCell ref="B29:C29"/>
    <mergeCell ref="B30:F30"/>
    <mergeCell ref="B31:H31"/>
    <mergeCell ref="B32:H32"/>
    <mergeCell ref="B34:H34"/>
    <mergeCell ref="B35:H35"/>
    <mergeCell ref="B36:H36"/>
    <mergeCell ref="B37:H37"/>
    <mergeCell ref="B38:H38"/>
  </mergeCells>
  <dataValidations count="3">
    <dataValidation allowBlank="true" errorStyle="stop" operator="between" showDropDown="false" showErrorMessage="false" showInputMessage="false" sqref="C7:C12" type="list">
      <formula1>"0,1,2,3,4"</formula1>
      <formula2>0</formula2>
    </dataValidation>
    <dataValidation allowBlank="true" errorStyle="stop" operator="between" showDropDown="false" showErrorMessage="false" showInputMessage="false" sqref="B16:B22 B25:B27" type="list">
      <formula1>"Y,N"</formula1>
      <formula2>0</formula2>
    </dataValidation>
    <dataValidation allowBlank="true" errorStyle="stop" operator="between" showDropDown="false" showErrorMessage="false" showInputMessage="false" sqref="C16 C18:C19" type="list">
      <formula1>"Central,Peripheral"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4"/>
  </cols>
  <sheetData>
    <row r="1" customFormat="false" ht="24" hidden="false" customHeight="true" outlineLevel="0" collapsed="false">
      <c r="A1" s="4" t="s">
        <v>67</v>
      </c>
      <c r="B1" s="4"/>
      <c r="C1" s="4"/>
      <c r="D1" s="4"/>
      <c r="E1" s="4"/>
      <c r="F1" s="4"/>
      <c r="G1" s="4"/>
    </row>
    <row r="2" customFormat="false" ht="25.5" hidden="false" customHeight="true" outlineLevel="0" collapsed="false">
      <c r="A2" s="25" t="s">
        <v>68</v>
      </c>
      <c r="B2" s="25"/>
      <c r="C2" s="25"/>
      <c r="D2" s="25"/>
      <c r="E2" s="25"/>
      <c r="F2" s="25"/>
      <c r="G2" s="25"/>
    </row>
    <row r="3" customFormat="false" ht="15" hidden="false" customHeight="false" outlineLevel="0" collapsed="false">
      <c r="A3" s="7" t="s">
        <v>69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</row>
    <row r="4" customFormat="false" ht="15" hidden="false" customHeight="false" outlineLevel="0" collapsed="false">
      <c r="A4" s="13" t="s">
        <v>76</v>
      </c>
      <c r="B4" s="26"/>
      <c r="C4" s="26"/>
      <c r="D4" s="26"/>
      <c r="E4" s="26"/>
      <c r="F4" s="26"/>
      <c r="G4" s="26"/>
    </row>
    <row r="5" customFormat="false" ht="15" hidden="false" customHeight="false" outlineLevel="0" collapsed="false">
      <c r="A5" s="13" t="s">
        <v>77</v>
      </c>
      <c r="B5" s="26"/>
      <c r="C5" s="26"/>
      <c r="D5" s="26"/>
      <c r="E5" s="26"/>
      <c r="F5" s="26"/>
      <c r="G5" s="26"/>
    </row>
    <row r="6" customFormat="false" ht="15" hidden="false" customHeight="false" outlineLevel="0" collapsed="false">
      <c r="A6" s="13" t="s">
        <v>78</v>
      </c>
      <c r="B6" s="26"/>
      <c r="C6" s="26"/>
      <c r="D6" s="26"/>
      <c r="E6" s="26"/>
      <c r="F6" s="26"/>
      <c r="G6" s="26"/>
    </row>
    <row r="7" customFormat="false" ht="15" hidden="false" customHeight="false" outlineLevel="0" collapsed="false">
      <c r="A7" s="13" t="s">
        <v>79</v>
      </c>
      <c r="B7" s="26"/>
      <c r="C7" s="26"/>
      <c r="D7" s="26"/>
      <c r="E7" s="26"/>
      <c r="F7" s="26"/>
      <c r="G7" s="26"/>
    </row>
    <row r="8" customFormat="false" ht="15" hidden="false" customHeight="false" outlineLevel="0" collapsed="false">
      <c r="A8" s="13" t="s">
        <v>80</v>
      </c>
      <c r="B8" s="26"/>
      <c r="C8" s="26"/>
      <c r="D8" s="26"/>
      <c r="E8" s="26"/>
      <c r="F8" s="26"/>
      <c r="G8" s="26"/>
    </row>
    <row r="9" customFormat="false" ht="15" hidden="false" customHeight="false" outlineLevel="0" collapsed="false">
      <c r="A9" s="13" t="s">
        <v>81</v>
      </c>
      <c r="B9" s="26"/>
      <c r="C9" s="26"/>
      <c r="D9" s="26"/>
      <c r="E9" s="26"/>
      <c r="F9" s="26"/>
      <c r="G9" s="26"/>
    </row>
    <row r="10" customFormat="false" ht="15" hidden="false" customHeight="false" outlineLevel="0" collapsed="false">
      <c r="A10" s="27" t="s">
        <v>82</v>
      </c>
      <c r="B10" s="28"/>
      <c r="C10" s="28"/>
      <c r="D10" s="28"/>
      <c r="E10" s="28"/>
      <c r="F10" s="28"/>
      <c r="G10" s="28"/>
    </row>
    <row r="11" customFormat="false" ht="15" hidden="false" customHeight="false" outlineLevel="0" collapsed="false">
      <c r="A11" s="29" t="s">
        <v>83</v>
      </c>
      <c r="B11" s="30" t="s">
        <v>42</v>
      </c>
      <c r="C11" s="30" t="s">
        <v>42</v>
      </c>
      <c r="D11" s="30" t="s">
        <v>42</v>
      </c>
      <c r="E11" s="30" t="s">
        <v>42</v>
      </c>
      <c r="F11" s="30" t="s">
        <v>42</v>
      </c>
      <c r="G11" s="30" t="s">
        <v>42</v>
      </c>
    </row>
    <row r="12" customFormat="false" ht="15" hidden="false" customHeight="false" outlineLevel="0" collapsed="false">
      <c r="A12" s="29" t="s">
        <v>84</v>
      </c>
      <c r="B12" s="30" t="s">
        <v>43</v>
      </c>
      <c r="C12" s="30" t="s">
        <v>43</v>
      </c>
      <c r="D12" s="30" t="s">
        <v>43</v>
      </c>
      <c r="E12" s="30" t="s">
        <v>43</v>
      </c>
      <c r="F12" s="30" t="s">
        <v>43</v>
      </c>
      <c r="G12" s="30" t="s">
        <v>43</v>
      </c>
    </row>
    <row r="13" customFormat="false" ht="15" hidden="false" customHeight="false" outlineLevel="0" collapsed="false">
      <c r="A13" s="29" t="s">
        <v>85</v>
      </c>
      <c r="B13" s="30" t="s">
        <v>42</v>
      </c>
      <c r="C13" s="30" t="s">
        <v>42</v>
      </c>
      <c r="D13" s="30" t="s">
        <v>42</v>
      </c>
      <c r="E13" s="30" t="s">
        <v>42</v>
      </c>
      <c r="F13" s="30" t="s">
        <v>42</v>
      </c>
      <c r="G13" s="30" t="s">
        <v>42</v>
      </c>
    </row>
    <row r="14" customFormat="false" ht="15" hidden="false" customHeight="false" outlineLevel="0" collapsed="false">
      <c r="A14" s="29" t="s">
        <v>86</v>
      </c>
      <c r="B14" s="30" t="s">
        <v>42</v>
      </c>
      <c r="C14" s="30" t="s">
        <v>42</v>
      </c>
      <c r="D14" s="30" t="s">
        <v>42</v>
      </c>
      <c r="E14" s="30" t="s">
        <v>42</v>
      </c>
      <c r="F14" s="30" t="s">
        <v>42</v>
      </c>
      <c r="G14" s="30" t="s">
        <v>42</v>
      </c>
    </row>
    <row r="15" customFormat="false" ht="15" hidden="false" customHeight="false" outlineLevel="0" collapsed="false">
      <c r="A15" s="29" t="s">
        <v>87</v>
      </c>
      <c r="B15" s="30" t="s">
        <v>43</v>
      </c>
      <c r="C15" s="30" t="s">
        <v>43</v>
      </c>
      <c r="D15" s="30" t="s">
        <v>43</v>
      </c>
      <c r="E15" s="30" t="s">
        <v>43</v>
      </c>
      <c r="F15" s="30" t="s">
        <v>43</v>
      </c>
      <c r="G15" s="30" t="s">
        <v>43</v>
      </c>
    </row>
    <row r="16" customFormat="false" ht="15" hidden="false" customHeight="false" outlineLevel="0" collapsed="false">
      <c r="A16" s="29" t="s">
        <v>88</v>
      </c>
      <c r="B16" s="30" t="s">
        <v>42</v>
      </c>
      <c r="C16" s="30" t="s">
        <v>42</v>
      </c>
      <c r="D16" s="30" t="s">
        <v>42</v>
      </c>
      <c r="E16" s="30" t="s">
        <v>42</v>
      </c>
      <c r="F16" s="30" t="s">
        <v>42</v>
      </c>
      <c r="G16" s="30" t="s">
        <v>42</v>
      </c>
    </row>
    <row r="17" customFormat="false" ht="15" hidden="false" customHeight="false" outlineLevel="0" collapsed="false">
      <c r="A17" s="29" t="s">
        <v>89</v>
      </c>
      <c r="B17" s="30" t="s">
        <v>43</v>
      </c>
      <c r="C17" s="30" t="s">
        <v>43</v>
      </c>
      <c r="D17" s="30" t="s">
        <v>43</v>
      </c>
      <c r="E17" s="30" t="s">
        <v>43</v>
      </c>
      <c r="F17" s="30" t="s">
        <v>43</v>
      </c>
      <c r="G17" s="30" t="s">
        <v>43</v>
      </c>
    </row>
    <row r="18" customFormat="false" ht="15" hidden="false" customHeight="false" outlineLevel="0" collapsed="false">
      <c r="A18" s="29" t="s">
        <v>90</v>
      </c>
      <c r="B18" s="30" t="s">
        <v>42</v>
      </c>
      <c r="C18" s="30" t="s">
        <v>42</v>
      </c>
      <c r="D18" s="30" t="s">
        <v>42</v>
      </c>
      <c r="E18" s="30" t="s">
        <v>42</v>
      </c>
      <c r="F18" s="30" t="s">
        <v>42</v>
      </c>
      <c r="G18" s="30" t="s">
        <v>42</v>
      </c>
    </row>
    <row r="19" customFormat="false" ht="15" hidden="false" customHeight="false" outlineLevel="0" collapsed="false">
      <c r="A19" s="29" t="s">
        <v>91</v>
      </c>
      <c r="B19" s="30" t="s">
        <v>42</v>
      </c>
      <c r="C19" s="30" t="s">
        <v>42</v>
      </c>
      <c r="D19" s="30" t="s">
        <v>42</v>
      </c>
      <c r="E19" s="30" t="s">
        <v>42</v>
      </c>
      <c r="F19" s="30" t="s">
        <v>42</v>
      </c>
      <c r="G19" s="30" t="s">
        <v>42</v>
      </c>
    </row>
    <row r="20" customFormat="false" ht="15" hidden="false" customHeight="false" outlineLevel="0" collapsed="false">
      <c r="A20" s="29" t="s">
        <v>92</v>
      </c>
      <c r="B20" s="30" t="s">
        <v>42</v>
      </c>
      <c r="C20" s="30" t="s">
        <v>42</v>
      </c>
      <c r="D20" s="30" t="s">
        <v>42</v>
      </c>
      <c r="E20" s="30" t="s">
        <v>42</v>
      </c>
      <c r="F20" s="30" t="s">
        <v>42</v>
      </c>
      <c r="G20" s="30" t="s">
        <v>42</v>
      </c>
    </row>
    <row r="21" customFormat="false" ht="15" hidden="false" customHeight="false" outlineLevel="0" collapsed="false">
      <c r="A21" s="31" t="s">
        <v>93</v>
      </c>
      <c r="B21" s="28"/>
      <c r="C21" s="28"/>
      <c r="D21" s="28"/>
      <c r="E21" s="28"/>
      <c r="F21" s="28"/>
      <c r="G21" s="28"/>
    </row>
    <row r="22" customFormat="false" ht="15" hidden="false" customHeight="false" outlineLevel="0" collapsed="false">
      <c r="A22" s="29" t="s">
        <v>94</v>
      </c>
      <c r="B22" s="11" t="n">
        <f aca="false">IF(B19="Y",MIN(B4,1),B4)</f>
        <v>0</v>
      </c>
      <c r="C22" s="11" t="n">
        <f aca="false">IF(C19="Y",MIN(C4,1),C4)</f>
        <v>0</v>
      </c>
      <c r="D22" s="11" t="n">
        <f aca="false">IF(D19="Y",MIN(D4,1),D4)</f>
        <v>0</v>
      </c>
      <c r="E22" s="11" t="n">
        <f aca="false">IF(E19="Y",MIN(E4,1),E4)</f>
        <v>0</v>
      </c>
      <c r="F22" s="11" t="n">
        <f aca="false">IF(F19="Y",MIN(F4,1),F4)</f>
        <v>0</v>
      </c>
      <c r="G22" s="11" t="n">
        <f aca="false">IF(G19="Y",MIN(G4,1),G4)</f>
        <v>0</v>
      </c>
    </row>
    <row r="23" customFormat="false" ht="15" hidden="false" customHeight="false" outlineLevel="0" collapsed="false">
      <c r="A23" s="29" t="s">
        <v>95</v>
      </c>
      <c r="B23" s="11" t="n">
        <f aca="false">IF(AND(B11="Y",B12="Central"),0,IF(OR(B11="Y",B13="Y",B20="Y"),MIN(B5,1),B5))</f>
        <v>0</v>
      </c>
      <c r="C23" s="11" t="n">
        <f aca="false">IF(AND(C11="Y",C12="Central"),0,IF(OR(C11="Y",C13="Y",C20="Y"),MIN(C5,1),C5))</f>
        <v>0</v>
      </c>
      <c r="D23" s="11" t="n">
        <f aca="false">IF(AND(D11="Y",D12="Central"),0,IF(OR(D11="Y",D13="Y",D20="Y"),MIN(D5,1),D5))</f>
        <v>0</v>
      </c>
      <c r="E23" s="11" t="n">
        <f aca="false">IF(AND(E11="Y",E12="Central"),0,IF(OR(E11="Y",E13="Y",E20="Y"),MIN(E5,1),E5))</f>
        <v>0</v>
      </c>
      <c r="F23" s="11" t="n">
        <f aca="false">IF(AND(F11="Y",F12="Central"),0,IF(OR(F11="Y",F13="Y",F20="Y"),MIN(F5,1),F5))</f>
        <v>0</v>
      </c>
      <c r="G23" s="11" t="n">
        <f aca="false">IF(AND(G11="Y",G12="Central"),0,IF(OR(G11="Y",G13="Y",G20="Y"),MIN(G5,1),G5))</f>
        <v>0</v>
      </c>
    </row>
    <row r="24" customFormat="false" ht="15" hidden="false" customHeight="false" outlineLevel="0" collapsed="false">
      <c r="A24" s="29" t="s">
        <v>96</v>
      </c>
      <c r="B24" s="11" t="n">
        <f aca="false">IF(OR(AND(B14="Y",B15="Central"),AND(B16="Y",B17="Central")),0,IF(OR(B14="Y",B16="Y"),MIN(B6,1),B6))</f>
        <v>0</v>
      </c>
      <c r="C24" s="11" t="n">
        <f aca="false">IF(OR(AND(C14="Y",C15="Central"),AND(C16="Y",C17="Central")),0,IF(OR(C14="Y",C16="Y"),MIN(C6,1),C6))</f>
        <v>0</v>
      </c>
      <c r="D24" s="11" t="n">
        <f aca="false">IF(OR(AND(D14="Y",D15="Central"),AND(D16="Y",D17="Central")),0,IF(OR(D14="Y",D16="Y"),MIN(D6,1),D6))</f>
        <v>0</v>
      </c>
      <c r="E24" s="11" t="n">
        <f aca="false">IF(OR(AND(E14="Y",E15="Central"),AND(E16="Y",E17="Central")),0,IF(OR(E14="Y",E16="Y"),MIN(E6,1),E6))</f>
        <v>0</v>
      </c>
      <c r="F24" s="11" t="n">
        <f aca="false">IF(OR(AND(F14="Y",F15="Central"),AND(F16="Y",F17="Central")),0,IF(OR(F14="Y",F16="Y"),MIN(F6,1),F6))</f>
        <v>0</v>
      </c>
      <c r="G24" s="11" t="n">
        <f aca="false">IF(OR(AND(G14="Y",G15="Central"),AND(G16="Y",G17="Central")),0,IF(OR(G14="Y",G16="Y"),MIN(G6,1),G6))</f>
        <v>0</v>
      </c>
    </row>
    <row r="25" customFormat="false" ht="15" hidden="false" customHeight="false" outlineLevel="0" collapsed="false">
      <c r="A25" s="29" t="s">
        <v>97</v>
      </c>
      <c r="B25" s="11" t="n">
        <f aca="false">B7</f>
        <v>0</v>
      </c>
      <c r="C25" s="11" t="n">
        <f aca="false">C7</f>
        <v>0</v>
      </c>
      <c r="D25" s="11" t="n">
        <f aca="false">D7</f>
        <v>0</v>
      </c>
      <c r="E25" s="11" t="n">
        <f aca="false">E7</f>
        <v>0</v>
      </c>
      <c r="F25" s="11" t="n">
        <f aca="false">F7</f>
        <v>0</v>
      </c>
      <c r="G25" s="11" t="n">
        <f aca="false">G7</f>
        <v>0</v>
      </c>
    </row>
    <row r="26" customFormat="false" ht="15" hidden="false" customHeight="false" outlineLevel="0" collapsed="false">
      <c r="A26" s="29" t="s">
        <v>98</v>
      </c>
      <c r="B26" s="11" t="n">
        <f aca="false">B8</f>
        <v>0</v>
      </c>
      <c r="C26" s="11" t="n">
        <f aca="false">C8</f>
        <v>0</v>
      </c>
      <c r="D26" s="11" t="n">
        <f aca="false">D8</f>
        <v>0</v>
      </c>
      <c r="E26" s="11" t="n">
        <f aca="false">E8</f>
        <v>0</v>
      </c>
      <c r="F26" s="11" t="n">
        <f aca="false">F8</f>
        <v>0</v>
      </c>
      <c r="G26" s="11" t="n">
        <f aca="false">G8</f>
        <v>0</v>
      </c>
    </row>
    <row r="27" customFormat="false" ht="15" hidden="false" customHeight="false" outlineLevel="0" collapsed="false">
      <c r="A27" s="29" t="s">
        <v>99</v>
      </c>
      <c r="B27" s="11" t="n">
        <f aca="false">IF(B18="Y",MIN(B9,1),B9)</f>
        <v>0</v>
      </c>
      <c r="C27" s="11" t="n">
        <f aca="false">IF(C18="Y",MIN(C9,1),C9)</f>
        <v>0</v>
      </c>
      <c r="D27" s="11" t="n">
        <f aca="false">IF(D18="Y",MIN(D9,1),D9)</f>
        <v>0</v>
      </c>
      <c r="E27" s="11" t="n">
        <f aca="false">IF(E18="Y",MIN(E9,1),E9)</f>
        <v>0</v>
      </c>
      <c r="F27" s="11" t="n">
        <f aca="false">IF(F18="Y",MIN(F9,1),F9)</f>
        <v>0</v>
      </c>
      <c r="G27" s="11" t="n">
        <f aca="false">IF(G18="Y",MIN(G9,1),G9)</f>
        <v>0</v>
      </c>
    </row>
    <row r="29" customFormat="false" ht="15" hidden="false" customHeight="false" outlineLevel="0" collapsed="false">
      <c r="A29" s="8" t="s">
        <v>100</v>
      </c>
      <c r="B29" s="32" t="str">
        <f aca="false">IF(COUNT(B4:B9)&lt;6,"",ROUND((20*B22+25*B23+20*B24+15*B25+10*B26+10*B27)/4,0))</f>
        <v/>
      </c>
      <c r="C29" s="32" t="str">
        <f aca="false">IF(COUNT(C4:C9)&lt;6,"",ROUND((20*C22+25*C23+20*C24+15*C25+10*C26+10*C27)/4,0))</f>
        <v/>
      </c>
      <c r="D29" s="32" t="str">
        <f aca="false">IF(COUNT(D4:D9)&lt;6,"",ROUND((20*D22+25*D23+20*D24+15*D25+10*D26+10*D27)/4,0))</f>
        <v/>
      </c>
      <c r="E29" s="32" t="str">
        <f aca="false">IF(COUNT(E4:E9)&lt;6,"",ROUND((20*E22+25*E23+20*E24+15*E25+10*E26+10*E27)/4,0))</f>
        <v/>
      </c>
      <c r="F29" s="32" t="str">
        <f aca="false">IF(COUNT(F4:F9)&lt;6,"",ROUND((20*F22+25*F23+20*F24+15*F25+10*F26+10*F27)/4,0))</f>
        <v/>
      </c>
      <c r="G29" s="32" t="str">
        <f aca="false">IF(COUNT(G4:G9)&lt;6,"",ROUND((20*G22+25*G23+20*G24+15*G25+10*G26+10*G27)/4,0))</f>
        <v/>
      </c>
    </row>
    <row r="30" customFormat="false" ht="15" hidden="false" customHeight="false" outlineLevel="0" collapsed="false">
      <c r="A30" s="8" t="s">
        <v>59</v>
      </c>
      <c r="B30" s="12" t="str">
        <f aca="false">IF(B29="","",IF(B29&gt;=85,"A",IF(B29&gt;=70,"B",IF(B29&gt;=50,"C",IF(B29&gt;=30,"D","E")))))</f>
        <v/>
      </c>
      <c r="C30" s="12" t="str">
        <f aca="false">IF(C29="","",IF(C29&gt;=85,"A",IF(C29&gt;=70,"B",IF(C29&gt;=50,"C",IF(C29&gt;=30,"D","E")))))</f>
        <v/>
      </c>
      <c r="D30" s="12" t="str">
        <f aca="false">IF(D29="","",IF(D29&gt;=85,"A",IF(D29&gt;=70,"B",IF(D29&gt;=50,"C",IF(D29&gt;=30,"D","E")))))</f>
        <v/>
      </c>
      <c r="E30" s="12" t="str">
        <f aca="false">IF(E29="","",IF(E29&gt;=85,"A",IF(E29&gt;=70,"B",IF(E29&gt;=50,"C",IF(E29&gt;=30,"D","E")))))</f>
        <v/>
      </c>
      <c r="F30" s="12" t="str">
        <f aca="false">IF(F29="","",IF(F29&gt;=85,"A",IF(F29&gt;=70,"B",IF(F29&gt;=50,"C",IF(F29&gt;=30,"D","E")))))</f>
        <v/>
      </c>
      <c r="G30" s="12" t="str">
        <f aca="false">IF(G29="","",IF(G29&gt;=85,"A",IF(G29&gt;=70,"B",IF(G29&gt;=50,"C",IF(G29&gt;=30,"D","E")))))</f>
        <v/>
      </c>
    </row>
    <row r="31" customFormat="false" ht="15" hidden="false" customHeight="false" outlineLevel="0" collapsed="false">
      <c r="A31" s="8" t="s">
        <v>60</v>
      </c>
      <c r="B31" s="12" t="str">
        <f aca="false">IF(B29="","",IF(OR(B11="Y",B13="Y",B14="Y",B16="Y",B18="Y",B20="Y"),IF(B19="Y","INTEG+SCOPE","INTEGRITY"),IF(B19="Y","SCOPE","Clean")))</f>
        <v/>
      </c>
      <c r="C31" s="12" t="str">
        <f aca="false">IF(C29="","",IF(OR(C11="Y",C13="Y",C14="Y",C16="Y",C18="Y",C20="Y"),IF(C19="Y","INTEG+SCOPE","INTEGRITY"),IF(C19="Y","SCOPE","Clean")))</f>
        <v/>
      </c>
      <c r="D31" s="12" t="str">
        <f aca="false">IF(D29="","",IF(OR(D11="Y",D13="Y",D14="Y",D16="Y",D18="Y",D20="Y"),IF(D19="Y","INTEG+SCOPE","INTEGRITY"),IF(D19="Y","SCOPE","Clean")))</f>
        <v/>
      </c>
      <c r="E31" s="12" t="str">
        <f aca="false">IF(E29="","",IF(OR(E11="Y",E13="Y",E14="Y",E16="Y",E18="Y",E20="Y"),IF(E19="Y","INTEG+SCOPE","INTEGRITY"),IF(E19="Y","SCOPE","Clean")))</f>
        <v/>
      </c>
      <c r="F31" s="12" t="str">
        <f aca="false">IF(F29="","",IF(OR(F11="Y",F13="Y",F14="Y",F16="Y",F18="Y",F20="Y"),IF(F19="Y","INTEG+SCOPE","INTEGRITY"),IF(F19="Y","SCOPE","Clean")))</f>
        <v/>
      </c>
      <c r="G31" s="12" t="str">
        <f aca="false">IF(G29="","",IF(OR(G11="Y",G13="Y",G14="Y",G16="Y",G18="Y",G20="Y"),IF(G19="Y","INTEG+SCOPE","INTEGRITY"),IF(G19="Y","SCOPE","Clean")))</f>
        <v/>
      </c>
    </row>
    <row r="32" customFormat="false" ht="15" hidden="false" customHeight="false" outlineLevel="0" collapsed="false">
      <c r="A32" s="8" t="s">
        <v>101</v>
      </c>
      <c r="B32" s="12" t="str">
        <f aca="false">IF(B29="","",SUMPRODUCT(($B$29:$G$29&lt;&gt;"")*($B$29:$G$29&gt;B29))+1)</f>
        <v/>
      </c>
      <c r="C32" s="12" t="str">
        <f aca="false">IF(C29="","",SUMPRODUCT(($B$29:$G$29&lt;&gt;"")*($B$29:$G$29&gt;C29))+1)</f>
        <v/>
      </c>
      <c r="D32" s="12" t="str">
        <f aca="false">IF(D29="","",SUMPRODUCT(($B$29:$G$29&lt;&gt;"")*($B$29:$G$29&gt;D29))+1)</f>
        <v/>
      </c>
      <c r="E32" s="12" t="str">
        <f aca="false">IF(E29="","",SUMPRODUCT(($B$29:$G$29&lt;&gt;"")*($B$29:$G$29&gt;E29))+1)</f>
        <v/>
      </c>
      <c r="F32" s="12" t="str">
        <f aca="false">IF(F29="","",SUMPRODUCT(($B$29:$G$29&lt;&gt;"")*($B$29:$G$29&gt;F29))+1)</f>
        <v/>
      </c>
      <c r="G32" s="12" t="str">
        <f aca="false">IF(G29="","",SUMPRODUCT(($B$29:$G$29&lt;&gt;"")*($B$29:$G$29&gt;G29))+1)</f>
        <v/>
      </c>
    </row>
    <row r="34" customFormat="false" ht="27.75" hidden="false" customHeight="true" outlineLevel="0" collapsed="false">
      <c r="A34" s="33" t="s">
        <v>102</v>
      </c>
      <c r="B34" s="33"/>
      <c r="C34" s="33"/>
      <c r="D34" s="33"/>
      <c r="E34" s="33"/>
      <c r="F34" s="33"/>
      <c r="G34" s="33"/>
    </row>
  </sheetData>
  <mergeCells count="5">
    <mergeCell ref="A1:G1"/>
    <mergeCell ref="A2:G2"/>
    <mergeCell ref="B10:G10"/>
    <mergeCell ref="B21:G21"/>
    <mergeCell ref="A34:G34"/>
  </mergeCells>
  <dataValidations count="3">
    <dataValidation allowBlank="true" errorStyle="stop" operator="between" showDropDown="false" showErrorMessage="false" showInputMessage="false" sqref="B4:G9" type="list">
      <formula1>"0,1,2,3,4"</formula1>
      <formula2>0</formula2>
    </dataValidation>
    <dataValidation allowBlank="true" errorStyle="stop" operator="between" showDropDown="false" showErrorMessage="false" showInputMessage="false" sqref="B11:G11 B13:G14 B16:G16 B18:G20" type="list">
      <formula1>"Y,N"</formula1>
      <formula2>0</formula2>
    </dataValidation>
    <dataValidation allowBlank="true" errorStyle="stop" operator="between" showDropDown="false" showErrorMessage="false" showInputMessage="false" sqref="B12:G12 B15:G15 B17:G17" type="list">
      <formula1>"Central,Peripheral"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28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30"/>
    <col collapsed="false" customWidth="true" hidden="false" outlineLevel="0" max="9" min="9" style="0" width="11"/>
  </cols>
  <sheetData>
    <row r="1" customFormat="false" ht="24" hidden="false" customHeight="true" outlineLevel="0" collapsed="false">
      <c r="A1" s="4" t="s">
        <v>103</v>
      </c>
      <c r="B1" s="4"/>
      <c r="C1" s="4"/>
      <c r="D1" s="4"/>
      <c r="E1" s="4"/>
      <c r="F1" s="4"/>
      <c r="G1" s="4"/>
      <c r="H1" s="4"/>
      <c r="I1" s="4"/>
    </row>
    <row r="3" customFormat="false" ht="15" hidden="false" customHeight="false" outlineLevel="0" collapsed="false">
      <c r="A3" s="5" t="s">
        <v>104</v>
      </c>
      <c r="B3" s="34" t="s">
        <v>105</v>
      </c>
      <c r="C3" s="34" t="s">
        <v>106</v>
      </c>
      <c r="D3" s="34" t="s">
        <v>107</v>
      </c>
      <c r="E3" s="34" t="s">
        <v>108</v>
      </c>
      <c r="F3" s="34" t="s">
        <v>109</v>
      </c>
      <c r="G3" s="34" t="s">
        <v>110</v>
      </c>
    </row>
    <row r="4" customFormat="false" ht="15" hidden="false" customHeight="false" outlineLevel="0" collapsed="false">
      <c r="B4" s="35" t="n">
        <f aca="false">COUNTIF($F$7:$F$56,"SUPPORTS")</f>
        <v>0</v>
      </c>
      <c r="C4" s="35" t="n">
        <f aca="false">COUNTIF($F$7:$F$56,"WRONG-ATTRIBUTION")</f>
        <v>0</v>
      </c>
      <c r="D4" s="35" t="n">
        <f aca="false">COUNTIF($F$7:$F$56,"NOT-SUPPORTED")</f>
        <v>0</v>
      </c>
      <c r="E4" s="35" t="n">
        <f aca="false">COUNTIF($F$7:$F$56,"STALE")</f>
        <v>0</v>
      </c>
      <c r="F4" s="35" t="n">
        <f aca="false">COUNTIF($F$7:$F$56,"FABRICATED")</f>
        <v>0</v>
      </c>
      <c r="G4" s="35" t="n">
        <f aca="false">COUNTIF($F$7:$F$56,"UNVERIFIABLE")</f>
        <v>0</v>
      </c>
    </row>
    <row r="6" customFormat="false" ht="23.85" hidden="false" customHeight="false" outlineLevel="0" collapsed="false">
      <c r="A6" s="7" t="s">
        <v>111</v>
      </c>
      <c r="B6" s="7" t="s">
        <v>112</v>
      </c>
      <c r="C6" s="7" t="s">
        <v>113</v>
      </c>
      <c r="D6" s="7" t="s">
        <v>114</v>
      </c>
      <c r="E6" s="7" t="s">
        <v>115</v>
      </c>
      <c r="F6" s="7" t="s">
        <v>116</v>
      </c>
      <c r="G6" s="7" t="s">
        <v>117</v>
      </c>
      <c r="H6" s="7" t="s">
        <v>118</v>
      </c>
      <c r="I6" s="7" t="s">
        <v>119</v>
      </c>
    </row>
    <row r="7" customFormat="false" ht="15" hidden="false" customHeight="false" outlineLevel="0" collapsed="false">
      <c r="A7" s="29" t="n">
        <v>1</v>
      </c>
      <c r="B7" s="36"/>
      <c r="C7" s="36"/>
      <c r="D7" s="36"/>
      <c r="E7" s="36"/>
      <c r="F7" s="36"/>
      <c r="G7" s="36"/>
      <c r="H7" s="36"/>
      <c r="I7" s="36"/>
    </row>
    <row r="8" customFormat="false" ht="15" hidden="false" customHeight="false" outlineLevel="0" collapsed="false">
      <c r="A8" s="29" t="n">
        <v>2</v>
      </c>
      <c r="B8" s="36"/>
      <c r="C8" s="36"/>
      <c r="D8" s="36"/>
      <c r="E8" s="36"/>
      <c r="F8" s="36"/>
      <c r="G8" s="36"/>
      <c r="H8" s="36"/>
      <c r="I8" s="36"/>
    </row>
    <row r="9" customFormat="false" ht="15" hidden="false" customHeight="false" outlineLevel="0" collapsed="false">
      <c r="A9" s="29" t="n">
        <v>3</v>
      </c>
      <c r="B9" s="36"/>
      <c r="C9" s="36"/>
      <c r="D9" s="36"/>
      <c r="E9" s="36"/>
      <c r="F9" s="36"/>
      <c r="G9" s="36"/>
      <c r="H9" s="36"/>
      <c r="I9" s="36"/>
    </row>
    <row r="10" customFormat="false" ht="15" hidden="false" customHeight="false" outlineLevel="0" collapsed="false">
      <c r="A10" s="29" t="n">
        <v>4</v>
      </c>
      <c r="B10" s="36"/>
      <c r="C10" s="36"/>
      <c r="D10" s="36"/>
      <c r="E10" s="36"/>
      <c r="F10" s="36"/>
      <c r="G10" s="36"/>
      <c r="H10" s="36"/>
      <c r="I10" s="36"/>
    </row>
    <row r="11" customFormat="false" ht="15" hidden="false" customHeight="false" outlineLevel="0" collapsed="false">
      <c r="A11" s="29" t="n">
        <v>5</v>
      </c>
      <c r="B11" s="36"/>
      <c r="C11" s="36"/>
      <c r="D11" s="36"/>
      <c r="E11" s="36"/>
      <c r="F11" s="36"/>
      <c r="G11" s="36"/>
      <c r="H11" s="36"/>
      <c r="I11" s="36"/>
    </row>
    <row r="12" customFormat="false" ht="15" hidden="false" customHeight="false" outlineLevel="0" collapsed="false">
      <c r="A12" s="29" t="n">
        <v>6</v>
      </c>
      <c r="B12" s="36"/>
      <c r="C12" s="36"/>
      <c r="D12" s="36"/>
      <c r="E12" s="36"/>
      <c r="F12" s="36"/>
      <c r="G12" s="36"/>
      <c r="H12" s="36"/>
      <c r="I12" s="36"/>
    </row>
    <row r="13" customFormat="false" ht="15" hidden="false" customHeight="false" outlineLevel="0" collapsed="false">
      <c r="A13" s="29" t="n">
        <v>7</v>
      </c>
      <c r="B13" s="36"/>
      <c r="C13" s="36"/>
      <c r="D13" s="36"/>
      <c r="E13" s="36"/>
      <c r="F13" s="36"/>
      <c r="G13" s="36"/>
      <c r="H13" s="36"/>
      <c r="I13" s="36"/>
    </row>
    <row r="14" customFormat="false" ht="15" hidden="false" customHeight="false" outlineLevel="0" collapsed="false">
      <c r="A14" s="29" t="n">
        <v>8</v>
      </c>
      <c r="B14" s="36"/>
      <c r="C14" s="36"/>
      <c r="D14" s="36"/>
      <c r="E14" s="36"/>
      <c r="F14" s="36"/>
      <c r="G14" s="36"/>
      <c r="H14" s="36"/>
      <c r="I14" s="36"/>
    </row>
    <row r="15" customFormat="false" ht="15" hidden="false" customHeight="false" outlineLevel="0" collapsed="false">
      <c r="A15" s="29" t="n">
        <v>9</v>
      </c>
      <c r="B15" s="36"/>
      <c r="C15" s="36"/>
      <c r="D15" s="36"/>
      <c r="E15" s="36"/>
      <c r="F15" s="36"/>
      <c r="G15" s="36"/>
      <c r="H15" s="36"/>
      <c r="I15" s="36"/>
    </row>
    <row r="16" customFormat="false" ht="15" hidden="false" customHeight="false" outlineLevel="0" collapsed="false">
      <c r="A16" s="29" t="n">
        <v>10</v>
      </c>
      <c r="B16" s="36"/>
      <c r="C16" s="36"/>
      <c r="D16" s="36"/>
      <c r="E16" s="36"/>
      <c r="F16" s="36"/>
      <c r="G16" s="36"/>
      <c r="H16" s="36"/>
      <c r="I16" s="36"/>
    </row>
    <row r="17" customFormat="false" ht="15" hidden="false" customHeight="false" outlineLevel="0" collapsed="false">
      <c r="A17" s="29" t="n">
        <v>11</v>
      </c>
      <c r="B17" s="36"/>
      <c r="C17" s="36"/>
      <c r="D17" s="36"/>
      <c r="E17" s="36"/>
      <c r="F17" s="36"/>
      <c r="G17" s="36"/>
      <c r="H17" s="36"/>
      <c r="I17" s="36"/>
    </row>
    <row r="18" customFormat="false" ht="15" hidden="false" customHeight="false" outlineLevel="0" collapsed="false">
      <c r="A18" s="29" t="n">
        <v>12</v>
      </c>
      <c r="B18" s="36"/>
      <c r="C18" s="36"/>
      <c r="D18" s="36"/>
      <c r="E18" s="36"/>
      <c r="F18" s="36"/>
      <c r="G18" s="36"/>
      <c r="H18" s="36"/>
      <c r="I18" s="36"/>
    </row>
    <row r="19" customFormat="false" ht="15" hidden="false" customHeight="false" outlineLevel="0" collapsed="false">
      <c r="A19" s="29" t="n">
        <v>13</v>
      </c>
      <c r="B19" s="36"/>
      <c r="C19" s="36"/>
      <c r="D19" s="36"/>
      <c r="E19" s="36"/>
      <c r="F19" s="36"/>
      <c r="G19" s="36"/>
      <c r="H19" s="36"/>
      <c r="I19" s="36"/>
    </row>
    <row r="20" customFormat="false" ht="15" hidden="false" customHeight="false" outlineLevel="0" collapsed="false">
      <c r="A20" s="29" t="n">
        <v>14</v>
      </c>
      <c r="B20" s="36"/>
      <c r="C20" s="36"/>
      <c r="D20" s="36"/>
      <c r="E20" s="36"/>
      <c r="F20" s="36"/>
      <c r="G20" s="36"/>
      <c r="H20" s="36"/>
      <c r="I20" s="36"/>
    </row>
    <row r="21" customFormat="false" ht="15" hidden="false" customHeight="false" outlineLevel="0" collapsed="false">
      <c r="A21" s="29" t="n">
        <v>15</v>
      </c>
      <c r="B21" s="36"/>
      <c r="C21" s="36"/>
      <c r="D21" s="36"/>
      <c r="E21" s="36"/>
      <c r="F21" s="36"/>
      <c r="G21" s="36"/>
      <c r="H21" s="36"/>
      <c r="I21" s="36"/>
    </row>
    <row r="22" customFormat="false" ht="15" hidden="false" customHeight="false" outlineLevel="0" collapsed="false">
      <c r="A22" s="29" t="n">
        <v>16</v>
      </c>
      <c r="B22" s="36"/>
      <c r="C22" s="36"/>
      <c r="D22" s="36"/>
      <c r="E22" s="36"/>
      <c r="F22" s="36"/>
      <c r="G22" s="36"/>
      <c r="H22" s="36"/>
      <c r="I22" s="36"/>
    </row>
    <row r="23" customFormat="false" ht="15" hidden="false" customHeight="false" outlineLevel="0" collapsed="false">
      <c r="A23" s="29" t="n">
        <v>17</v>
      </c>
      <c r="B23" s="36"/>
      <c r="C23" s="36"/>
      <c r="D23" s="36"/>
      <c r="E23" s="36"/>
      <c r="F23" s="36"/>
      <c r="G23" s="36"/>
      <c r="H23" s="36"/>
      <c r="I23" s="36"/>
    </row>
    <row r="24" customFormat="false" ht="15" hidden="false" customHeight="false" outlineLevel="0" collapsed="false">
      <c r="A24" s="29" t="n">
        <v>18</v>
      </c>
      <c r="B24" s="36"/>
      <c r="C24" s="36"/>
      <c r="D24" s="36"/>
      <c r="E24" s="36"/>
      <c r="F24" s="36"/>
      <c r="G24" s="36"/>
      <c r="H24" s="36"/>
      <c r="I24" s="36"/>
    </row>
    <row r="25" customFormat="false" ht="15" hidden="false" customHeight="false" outlineLevel="0" collapsed="false">
      <c r="A25" s="29" t="n">
        <v>19</v>
      </c>
      <c r="B25" s="36"/>
      <c r="C25" s="36"/>
      <c r="D25" s="36"/>
      <c r="E25" s="36"/>
      <c r="F25" s="36"/>
      <c r="G25" s="36"/>
      <c r="H25" s="36"/>
      <c r="I25" s="36"/>
    </row>
    <row r="26" customFormat="false" ht="15" hidden="false" customHeight="false" outlineLevel="0" collapsed="false">
      <c r="A26" s="29" t="n">
        <v>20</v>
      </c>
      <c r="B26" s="36"/>
      <c r="C26" s="36"/>
      <c r="D26" s="36"/>
      <c r="E26" s="36"/>
      <c r="F26" s="36"/>
      <c r="G26" s="36"/>
      <c r="H26" s="36"/>
      <c r="I26" s="36"/>
    </row>
    <row r="27" customFormat="false" ht="15" hidden="false" customHeight="false" outlineLevel="0" collapsed="false">
      <c r="A27" s="29" t="n">
        <v>21</v>
      </c>
      <c r="B27" s="36"/>
      <c r="C27" s="36"/>
      <c r="D27" s="36"/>
      <c r="E27" s="36"/>
      <c r="F27" s="36"/>
      <c r="G27" s="36"/>
      <c r="H27" s="36"/>
      <c r="I27" s="36"/>
    </row>
    <row r="28" customFormat="false" ht="15" hidden="false" customHeight="false" outlineLevel="0" collapsed="false">
      <c r="A28" s="29" t="n">
        <v>22</v>
      </c>
      <c r="B28" s="36"/>
      <c r="C28" s="36"/>
      <c r="D28" s="36"/>
      <c r="E28" s="36"/>
      <c r="F28" s="36"/>
      <c r="G28" s="36"/>
      <c r="H28" s="36"/>
      <c r="I28" s="36"/>
    </row>
    <row r="29" customFormat="false" ht="15" hidden="false" customHeight="false" outlineLevel="0" collapsed="false">
      <c r="A29" s="29" t="n">
        <v>23</v>
      </c>
      <c r="B29" s="36"/>
      <c r="C29" s="36"/>
      <c r="D29" s="36"/>
      <c r="E29" s="36"/>
      <c r="F29" s="36"/>
      <c r="G29" s="36"/>
      <c r="H29" s="36"/>
      <c r="I29" s="36"/>
    </row>
    <row r="30" customFormat="false" ht="15" hidden="false" customHeight="false" outlineLevel="0" collapsed="false">
      <c r="A30" s="29" t="n">
        <v>24</v>
      </c>
      <c r="B30" s="36"/>
      <c r="C30" s="36"/>
      <c r="D30" s="36"/>
      <c r="E30" s="36"/>
      <c r="F30" s="36"/>
      <c r="G30" s="36"/>
      <c r="H30" s="36"/>
      <c r="I30" s="36"/>
    </row>
    <row r="31" customFormat="false" ht="15" hidden="false" customHeight="false" outlineLevel="0" collapsed="false">
      <c r="A31" s="29" t="n">
        <v>25</v>
      </c>
      <c r="B31" s="36"/>
      <c r="C31" s="36"/>
      <c r="D31" s="36"/>
      <c r="E31" s="36"/>
      <c r="F31" s="36"/>
      <c r="G31" s="36"/>
      <c r="H31" s="36"/>
      <c r="I31" s="36"/>
    </row>
    <row r="32" customFormat="false" ht="15" hidden="false" customHeight="false" outlineLevel="0" collapsed="false">
      <c r="A32" s="29" t="n">
        <v>26</v>
      </c>
      <c r="B32" s="36"/>
      <c r="C32" s="36"/>
      <c r="D32" s="36"/>
      <c r="E32" s="36"/>
      <c r="F32" s="36"/>
      <c r="G32" s="36"/>
      <c r="H32" s="36"/>
      <c r="I32" s="36"/>
    </row>
    <row r="33" customFormat="false" ht="15" hidden="false" customHeight="false" outlineLevel="0" collapsed="false">
      <c r="A33" s="29" t="n">
        <v>27</v>
      </c>
      <c r="B33" s="36"/>
      <c r="C33" s="36"/>
      <c r="D33" s="36"/>
      <c r="E33" s="36"/>
      <c r="F33" s="36"/>
      <c r="G33" s="36"/>
      <c r="H33" s="36"/>
      <c r="I33" s="36"/>
    </row>
    <row r="34" customFormat="false" ht="15" hidden="false" customHeight="false" outlineLevel="0" collapsed="false">
      <c r="A34" s="29" t="n">
        <v>28</v>
      </c>
      <c r="B34" s="36"/>
      <c r="C34" s="36"/>
      <c r="D34" s="36"/>
      <c r="E34" s="36"/>
      <c r="F34" s="36"/>
      <c r="G34" s="36"/>
      <c r="H34" s="36"/>
      <c r="I34" s="36"/>
    </row>
    <row r="35" customFormat="false" ht="15" hidden="false" customHeight="false" outlineLevel="0" collapsed="false">
      <c r="A35" s="29" t="n">
        <v>29</v>
      </c>
      <c r="B35" s="36"/>
      <c r="C35" s="36"/>
      <c r="D35" s="36"/>
      <c r="E35" s="36"/>
      <c r="F35" s="36"/>
      <c r="G35" s="36"/>
      <c r="H35" s="36"/>
      <c r="I35" s="36"/>
    </row>
    <row r="36" customFormat="false" ht="15" hidden="false" customHeight="false" outlineLevel="0" collapsed="false">
      <c r="A36" s="29" t="n">
        <v>30</v>
      </c>
      <c r="B36" s="36"/>
      <c r="C36" s="36"/>
      <c r="D36" s="36"/>
      <c r="E36" s="36"/>
      <c r="F36" s="36"/>
      <c r="G36" s="36"/>
      <c r="H36" s="36"/>
      <c r="I36" s="36"/>
    </row>
    <row r="37" customFormat="false" ht="15" hidden="false" customHeight="false" outlineLevel="0" collapsed="false">
      <c r="A37" s="29" t="n">
        <v>31</v>
      </c>
      <c r="B37" s="36"/>
      <c r="C37" s="36"/>
      <c r="D37" s="36"/>
      <c r="E37" s="36"/>
      <c r="F37" s="36"/>
      <c r="G37" s="36"/>
      <c r="H37" s="36"/>
      <c r="I37" s="36"/>
    </row>
    <row r="38" customFormat="false" ht="15" hidden="false" customHeight="false" outlineLevel="0" collapsed="false">
      <c r="A38" s="29" t="n">
        <v>32</v>
      </c>
      <c r="B38" s="36"/>
      <c r="C38" s="36"/>
      <c r="D38" s="36"/>
      <c r="E38" s="36"/>
      <c r="F38" s="36"/>
      <c r="G38" s="36"/>
      <c r="H38" s="36"/>
      <c r="I38" s="36"/>
    </row>
    <row r="39" customFormat="false" ht="15" hidden="false" customHeight="false" outlineLevel="0" collapsed="false">
      <c r="A39" s="29" t="n">
        <v>33</v>
      </c>
      <c r="B39" s="36"/>
      <c r="C39" s="36"/>
      <c r="D39" s="36"/>
      <c r="E39" s="36"/>
      <c r="F39" s="36"/>
      <c r="G39" s="36"/>
      <c r="H39" s="36"/>
      <c r="I39" s="36"/>
    </row>
    <row r="40" customFormat="false" ht="15" hidden="false" customHeight="false" outlineLevel="0" collapsed="false">
      <c r="A40" s="29" t="n">
        <v>34</v>
      </c>
      <c r="B40" s="36"/>
      <c r="C40" s="36"/>
      <c r="D40" s="36"/>
      <c r="E40" s="36"/>
      <c r="F40" s="36"/>
      <c r="G40" s="36"/>
      <c r="H40" s="36"/>
      <c r="I40" s="36"/>
    </row>
    <row r="41" customFormat="false" ht="15" hidden="false" customHeight="false" outlineLevel="0" collapsed="false">
      <c r="A41" s="29" t="n">
        <v>35</v>
      </c>
      <c r="B41" s="36"/>
      <c r="C41" s="36"/>
      <c r="D41" s="36"/>
      <c r="E41" s="36"/>
      <c r="F41" s="36"/>
      <c r="G41" s="36"/>
      <c r="H41" s="36"/>
      <c r="I41" s="36"/>
    </row>
    <row r="42" customFormat="false" ht="15" hidden="false" customHeight="false" outlineLevel="0" collapsed="false">
      <c r="A42" s="29" t="n">
        <v>36</v>
      </c>
      <c r="B42" s="36"/>
      <c r="C42" s="36"/>
      <c r="D42" s="36"/>
      <c r="E42" s="36"/>
      <c r="F42" s="36"/>
      <c r="G42" s="36"/>
      <c r="H42" s="36"/>
      <c r="I42" s="36"/>
    </row>
    <row r="43" customFormat="false" ht="15" hidden="false" customHeight="false" outlineLevel="0" collapsed="false">
      <c r="A43" s="29" t="n">
        <v>37</v>
      </c>
      <c r="B43" s="36"/>
      <c r="C43" s="36"/>
      <c r="D43" s="36"/>
      <c r="E43" s="36"/>
      <c r="F43" s="36"/>
      <c r="G43" s="36"/>
      <c r="H43" s="36"/>
      <c r="I43" s="36"/>
    </row>
    <row r="44" customFormat="false" ht="15" hidden="false" customHeight="false" outlineLevel="0" collapsed="false">
      <c r="A44" s="29" t="n">
        <v>38</v>
      </c>
      <c r="B44" s="36"/>
      <c r="C44" s="36"/>
      <c r="D44" s="36"/>
      <c r="E44" s="36"/>
      <c r="F44" s="36"/>
      <c r="G44" s="36"/>
      <c r="H44" s="36"/>
      <c r="I44" s="36"/>
    </row>
    <row r="45" customFormat="false" ht="15" hidden="false" customHeight="false" outlineLevel="0" collapsed="false">
      <c r="A45" s="29" t="n">
        <v>39</v>
      </c>
      <c r="B45" s="36"/>
      <c r="C45" s="36"/>
      <c r="D45" s="36"/>
      <c r="E45" s="36"/>
      <c r="F45" s="36"/>
      <c r="G45" s="36"/>
      <c r="H45" s="36"/>
      <c r="I45" s="36"/>
    </row>
    <row r="46" customFormat="false" ht="15" hidden="false" customHeight="false" outlineLevel="0" collapsed="false">
      <c r="A46" s="29" t="n">
        <v>40</v>
      </c>
      <c r="B46" s="36"/>
      <c r="C46" s="36"/>
      <c r="D46" s="36"/>
      <c r="E46" s="36"/>
      <c r="F46" s="36"/>
      <c r="G46" s="36"/>
      <c r="H46" s="36"/>
      <c r="I46" s="36"/>
    </row>
    <row r="47" customFormat="false" ht="15" hidden="false" customHeight="false" outlineLevel="0" collapsed="false">
      <c r="A47" s="29" t="n">
        <v>41</v>
      </c>
      <c r="B47" s="36"/>
      <c r="C47" s="36"/>
      <c r="D47" s="36"/>
      <c r="E47" s="36"/>
      <c r="F47" s="36"/>
      <c r="G47" s="36"/>
      <c r="H47" s="36"/>
      <c r="I47" s="36"/>
    </row>
    <row r="48" customFormat="false" ht="15" hidden="false" customHeight="false" outlineLevel="0" collapsed="false">
      <c r="A48" s="29" t="n">
        <v>42</v>
      </c>
      <c r="B48" s="36"/>
      <c r="C48" s="36"/>
      <c r="D48" s="36"/>
      <c r="E48" s="36"/>
      <c r="F48" s="36"/>
      <c r="G48" s="36"/>
      <c r="H48" s="36"/>
      <c r="I48" s="36"/>
    </row>
    <row r="49" customFormat="false" ht="15" hidden="false" customHeight="false" outlineLevel="0" collapsed="false">
      <c r="A49" s="29" t="n">
        <v>43</v>
      </c>
      <c r="B49" s="36"/>
      <c r="C49" s="36"/>
      <c r="D49" s="36"/>
      <c r="E49" s="36"/>
      <c r="F49" s="36"/>
      <c r="G49" s="36"/>
      <c r="H49" s="36"/>
      <c r="I49" s="36"/>
    </row>
    <row r="50" customFormat="false" ht="15" hidden="false" customHeight="false" outlineLevel="0" collapsed="false">
      <c r="A50" s="29" t="n">
        <v>44</v>
      </c>
      <c r="B50" s="36"/>
      <c r="C50" s="36"/>
      <c r="D50" s="36"/>
      <c r="E50" s="36"/>
      <c r="F50" s="36"/>
      <c r="G50" s="36"/>
      <c r="H50" s="36"/>
      <c r="I50" s="36"/>
    </row>
    <row r="51" customFormat="false" ht="15" hidden="false" customHeight="false" outlineLevel="0" collapsed="false">
      <c r="A51" s="29" t="n">
        <v>45</v>
      </c>
      <c r="B51" s="36"/>
      <c r="C51" s="36"/>
      <c r="D51" s="36"/>
      <c r="E51" s="36"/>
      <c r="F51" s="36"/>
      <c r="G51" s="36"/>
      <c r="H51" s="36"/>
      <c r="I51" s="36"/>
    </row>
    <row r="52" customFormat="false" ht="15" hidden="false" customHeight="false" outlineLevel="0" collapsed="false">
      <c r="A52" s="29" t="n">
        <v>46</v>
      </c>
      <c r="B52" s="36"/>
      <c r="C52" s="36"/>
      <c r="D52" s="36"/>
      <c r="E52" s="36"/>
      <c r="F52" s="36"/>
      <c r="G52" s="36"/>
      <c r="H52" s="36"/>
      <c r="I52" s="36"/>
    </row>
    <row r="53" customFormat="false" ht="15" hidden="false" customHeight="false" outlineLevel="0" collapsed="false">
      <c r="A53" s="29" t="n">
        <v>47</v>
      </c>
      <c r="B53" s="36"/>
      <c r="C53" s="36"/>
      <c r="D53" s="36"/>
      <c r="E53" s="36"/>
      <c r="F53" s="36"/>
      <c r="G53" s="36"/>
      <c r="H53" s="36"/>
      <c r="I53" s="36"/>
    </row>
    <row r="54" customFormat="false" ht="15" hidden="false" customHeight="false" outlineLevel="0" collapsed="false">
      <c r="A54" s="29" t="n">
        <v>48</v>
      </c>
      <c r="B54" s="36"/>
      <c r="C54" s="36"/>
      <c r="D54" s="36"/>
      <c r="E54" s="36"/>
      <c r="F54" s="36"/>
      <c r="G54" s="36"/>
      <c r="H54" s="36"/>
      <c r="I54" s="36"/>
    </row>
    <row r="55" customFormat="false" ht="15" hidden="false" customHeight="false" outlineLevel="0" collapsed="false">
      <c r="A55" s="29" t="n">
        <v>49</v>
      </c>
      <c r="B55" s="36"/>
      <c r="C55" s="36"/>
      <c r="D55" s="36"/>
      <c r="E55" s="36"/>
      <c r="F55" s="36"/>
      <c r="G55" s="36"/>
      <c r="H55" s="36"/>
      <c r="I55" s="36"/>
    </row>
    <row r="56" customFormat="false" ht="15" hidden="false" customHeight="false" outlineLevel="0" collapsed="false">
      <c r="A56" s="29" t="n">
        <v>50</v>
      </c>
      <c r="B56" s="36"/>
      <c r="C56" s="36"/>
      <c r="D56" s="36"/>
      <c r="E56" s="36"/>
      <c r="F56" s="36"/>
      <c r="G56" s="36"/>
      <c r="H56" s="36"/>
      <c r="I56" s="36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F7:F56" type="list">
      <formula1>"SUPPORTS,WRONG-ATTRIBUTION,NOT-SUPPORTED,STALE,FABRICATED,UNVERIFIABLE"</formula1>
      <formula2>0</formula2>
    </dataValidation>
    <dataValidation allowBlank="true" errorStyle="stop" operator="between" showDropDown="false" showErrorMessage="false" showInputMessage="false" sqref="G7:G56" type="list">
      <formula1>"Central,Peripheral,n/a"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84"/>
  </cols>
  <sheetData>
    <row r="1" customFormat="false" ht="21.75" hidden="false" customHeight="true" outlineLevel="0" collapsed="false">
      <c r="A1" s="37" t="s">
        <v>120</v>
      </c>
      <c r="B1" s="37"/>
      <c r="C1" s="37"/>
    </row>
    <row r="3" customFormat="false" ht="15" hidden="false" customHeight="false" outlineLevel="0" collapsed="false">
      <c r="A3" s="20" t="s">
        <v>121</v>
      </c>
    </row>
    <row r="4" customFormat="false" ht="15" hidden="false" customHeight="false" outlineLevel="0" collapsed="false">
      <c r="A4" s="7" t="s">
        <v>22</v>
      </c>
      <c r="B4" s="7" t="s">
        <v>23</v>
      </c>
      <c r="C4" s="7" t="s">
        <v>122</v>
      </c>
    </row>
    <row r="5" customFormat="false" ht="43.5" hidden="false" customHeight="true" outlineLevel="0" collapsed="false">
      <c r="A5" s="8" t="s">
        <v>123</v>
      </c>
      <c r="B5" s="12" t="s">
        <v>124</v>
      </c>
      <c r="C5" s="13" t="s">
        <v>125</v>
      </c>
    </row>
    <row r="6" customFormat="false" ht="43.5" hidden="false" customHeight="true" outlineLevel="0" collapsed="false">
      <c r="A6" s="8" t="s">
        <v>126</v>
      </c>
      <c r="B6" s="12" t="s">
        <v>127</v>
      </c>
      <c r="C6" s="13" t="s">
        <v>128</v>
      </c>
    </row>
    <row r="7" customFormat="false" ht="43.5" hidden="false" customHeight="true" outlineLevel="0" collapsed="false">
      <c r="A7" s="8" t="s">
        <v>129</v>
      </c>
      <c r="B7" s="12" t="s">
        <v>124</v>
      </c>
      <c r="C7" s="13" t="s">
        <v>130</v>
      </c>
    </row>
    <row r="8" customFormat="false" ht="43.5" hidden="false" customHeight="true" outlineLevel="0" collapsed="false">
      <c r="A8" s="8" t="s">
        <v>131</v>
      </c>
      <c r="B8" s="12" t="s">
        <v>132</v>
      </c>
      <c r="C8" s="13" t="s">
        <v>133</v>
      </c>
    </row>
    <row r="9" customFormat="false" ht="43.5" hidden="false" customHeight="true" outlineLevel="0" collapsed="false">
      <c r="A9" s="8" t="s">
        <v>134</v>
      </c>
      <c r="B9" s="12" t="s">
        <v>135</v>
      </c>
      <c r="C9" s="13" t="s">
        <v>136</v>
      </c>
    </row>
    <row r="10" customFormat="false" ht="43.5" hidden="false" customHeight="true" outlineLevel="0" collapsed="false">
      <c r="A10" s="8" t="s">
        <v>137</v>
      </c>
      <c r="B10" s="12" t="s">
        <v>135</v>
      </c>
      <c r="C10" s="13" t="s">
        <v>138</v>
      </c>
    </row>
    <row r="12" customFormat="false" ht="15" hidden="false" customHeight="false" outlineLevel="0" collapsed="false">
      <c r="A12" s="20" t="s">
        <v>139</v>
      </c>
    </row>
    <row r="13" customFormat="false" ht="15" hidden="false" customHeight="false" outlineLevel="0" collapsed="false">
      <c r="A13" s="7" t="s">
        <v>140</v>
      </c>
      <c r="B13" s="7" t="s">
        <v>39</v>
      </c>
      <c r="C13" s="7" t="s">
        <v>141</v>
      </c>
    </row>
    <row r="14" customFormat="false" ht="25.5" hidden="false" customHeight="true" outlineLevel="0" collapsed="false">
      <c r="A14" s="8" t="s">
        <v>142</v>
      </c>
      <c r="B14" s="11" t="s">
        <v>143</v>
      </c>
      <c r="C14" s="13" t="s">
        <v>144</v>
      </c>
    </row>
    <row r="15" customFormat="false" ht="25.5" hidden="false" customHeight="true" outlineLevel="0" collapsed="false">
      <c r="A15" s="8" t="s">
        <v>145</v>
      </c>
      <c r="B15" s="11" t="s">
        <v>34</v>
      </c>
      <c r="C15" s="13" t="s">
        <v>146</v>
      </c>
    </row>
    <row r="16" customFormat="false" ht="25.5" hidden="false" customHeight="true" outlineLevel="0" collapsed="false">
      <c r="A16" s="8" t="s">
        <v>147</v>
      </c>
      <c r="B16" s="11" t="s">
        <v>143</v>
      </c>
      <c r="C16" s="13" t="s">
        <v>148</v>
      </c>
    </row>
    <row r="17" customFormat="false" ht="25.5" hidden="false" customHeight="true" outlineLevel="0" collapsed="false">
      <c r="A17" s="8" t="s">
        <v>149</v>
      </c>
      <c r="B17" s="11" t="s">
        <v>143</v>
      </c>
      <c r="C17" s="13" t="s">
        <v>148</v>
      </c>
    </row>
    <row r="18" customFormat="false" ht="25.5" hidden="false" customHeight="true" outlineLevel="0" collapsed="false">
      <c r="A18" s="8" t="s">
        <v>150</v>
      </c>
      <c r="B18" s="11" t="s">
        <v>34</v>
      </c>
      <c r="C18" s="13" t="s">
        <v>151</v>
      </c>
    </row>
    <row r="19" customFormat="false" ht="25.5" hidden="false" customHeight="true" outlineLevel="0" collapsed="false">
      <c r="A19" s="8" t="s">
        <v>152</v>
      </c>
      <c r="B19" s="11" t="s">
        <v>34</v>
      </c>
      <c r="C19" s="13" t="s">
        <v>153</v>
      </c>
    </row>
    <row r="20" customFormat="false" ht="25.5" hidden="false" customHeight="true" outlineLevel="0" collapsed="false">
      <c r="A20" s="8" t="s">
        <v>154</v>
      </c>
      <c r="B20" s="11" t="s">
        <v>34</v>
      </c>
      <c r="C20" s="13" t="s">
        <v>155</v>
      </c>
    </row>
    <row r="22" customFormat="false" ht="15" hidden="false" customHeight="false" outlineLevel="0" collapsed="false">
      <c r="A22" s="20" t="s">
        <v>156</v>
      </c>
    </row>
    <row r="23" customFormat="false" ht="30" hidden="false" customHeight="true" outlineLevel="0" collapsed="false">
      <c r="A23" s="38" t="s">
        <v>157</v>
      </c>
      <c r="C23" s="3" t="s">
        <v>158</v>
      </c>
    </row>
    <row r="24" customFormat="false" ht="30" hidden="false" customHeight="true" outlineLevel="0" collapsed="false">
      <c r="A24" s="38" t="s">
        <v>159</v>
      </c>
      <c r="C24" s="3" t="s">
        <v>160</v>
      </c>
    </row>
    <row r="25" customFormat="false" ht="30" hidden="false" customHeight="true" outlineLevel="0" collapsed="false">
      <c r="A25" s="38" t="s">
        <v>60</v>
      </c>
      <c r="C25" s="3" t="s">
        <v>161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2026-05-29T18:38:23Z</dcterms:created>
  <dc:creator>openpyxl</dc:creator>
  <dc:description/>
  <dc:language>en-US</dc:language>
  <cp:lastModifiedBy/>
  <dcterms:modified xsi:type="dcterms:W3CDTF">2026-05-29T18:38:24Z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